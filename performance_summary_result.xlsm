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"/>
    </mc:Choice>
  </mc:AlternateContent>
  <xr:revisionPtr revIDLastSave="0" documentId="13_ncr:1_{2E8DF1F7-E6DD-48C9-972A-1D5A019D39EE}" xr6:coauthVersionLast="36" xr6:coauthVersionMax="36" xr10:uidLastSave="{00000000-0000-0000-0000-000000000000}"/>
  <bookViews>
    <workbookView xWindow="0" yWindow="0" windowWidth="30720" windowHeight="9660" xr2:uid="{6C091B68-FC61-4EB6-BAFB-F0FE8E9824F5}"/>
  </bookViews>
  <sheets>
    <sheet name="Summary Indicators" sheetId="1" r:id="rId1"/>
  </sheets>
  <calcPr calcId="179021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6" i="1"/>
  <c r="P83" i="1"/>
  <c r="X83" i="1"/>
  <c r="U84" i="1"/>
  <c r="R85" i="1"/>
  <c r="Z85" i="1"/>
  <c r="W86" i="1"/>
  <c r="T87" i="1"/>
  <c r="Q88" i="1"/>
  <c r="Y88" i="1"/>
  <c r="V89" i="1"/>
  <c r="S87" i="1"/>
  <c r="Q83" i="1"/>
  <c r="Y83" i="1"/>
  <c r="V84" i="1"/>
  <c r="S85" i="1"/>
  <c r="P86" i="1"/>
  <c r="X86" i="1"/>
  <c r="U87" i="1"/>
  <c r="R88" i="1"/>
  <c r="Z88" i="1"/>
  <c r="W89" i="1"/>
  <c r="Q85" i="1"/>
  <c r="U89" i="1"/>
  <c r="R83" i="1"/>
  <c r="Z83" i="1"/>
  <c r="W84" i="1"/>
  <c r="T85" i="1"/>
  <c r="Q86" i="1"/>
  <c r="Y86" i="1"/>
  <c r="V87" i="1"/>
  <c r="S88" i="1"/>
  <c r="P89" i="1"/>
  <c r="X89" i="1"/>
  <c r="P88" i="1"/>
  <c r="S83" i="1"/>
  <c r="P84" i="1"/>
  <c r="X84" i="1"/>
  <c r="U85" i="1"/>
  <c r="R86" i="1"/>
  <c r="Z86" i="1"/>
  <c r="W87" i="1"/>
  <c r="T88" i="1"/>
  <c r="Q89" i="1"/>
  <c r="Y89" i="1"/>
  <c r="Y85" i="1"/>
  <c r="T83" i="1"/>
  <c r="Q84" i="1"/>
  <c r="Y84" i="1"/>
  <c r="V85" i="1"/>
  <c r="S86" i="1"/>
  <c r="P87" i="1"/>
  <c r="X87" i="1"/>
  <c r="U88" i="1"/>
  <c r="R89" i="1"/>
  <c r="Z89" i="1"/>
  <c r="V86" i="1"/>
  <c r="U83" i="1"/>
  <c r="R84" i="1"/>
  <c r="Z84" i="1"/>
  <c r="W85" i="1"/>
  <c r="T86" i="1"/>
  <c r="Q87" i="1"/>
  <c r="Y87" i="1"/>
  <c r="V88" i="1"/>
  <c r="S89" i="1"/>
  <c r="W83" i="1"/>
  <c r="X88" i="1"/>
  <c r="V83" i="1"/>
  <c r="S84" i="1"/>
  <c r="P85" i="1"/>
  <c r="X85" i="1"/>
  <c r="U86" i="1"/>
  <c r="R87" i="1"/>
  <c r="Z87" i="1"/>
  <c r="W88" i="1"/>
  <c r="T89" i="1"/>
  <c r="T84" i="1"/>
  <c r="Q82" i="1"/>
  <c r="Y82" i="1"/>
  <c r="R82" i="1"/>
  <c r="Z82" i="1"/>
  <c r="S82" i="1"/>
  <c r="T82" i="1"/>
  <c r="U82" i="1"/>
  <c r="V82" i="1"/>
  <c r="W82" i="1"/>
  <c r="X82" i="1"/>
  <c r="P82" i="1"/>
  <c r="P74" i="1"/>
  <c r="X74" i="1"/>
  <c r="U75" i="1"/>
  <c r="R76" i="1"/>
  <c r="Z76" i="1"/>
  <c r="W77" i="1"/>
  <c r="T78" i="1"/>
  <c r="Q79" i="1"/>
  <c r="Y79" i="1"/>
  <c r="Q74" i="1"/>
  <c r="Y74" i="1"/>
  <c r="V75" i="1"/>
  <c r="S76" i="1"/>
  <c r="P77" i="1"/>
  <c r="X77" i="1"/>
  <c r="U78" i="1"/>
  <c r="R79" i="1"/>
  <c r="Z79" i="1"/>
  <c r="W80" i="1"/>
  <c r="Z74" i="1"/>
  <c r="W75" i="1"/>
  <c r="T76" i="1"/>
  <c r="Q77" i="1"/>
  <c r="Y77" i="1"/>
  <c r="V78" i="1"/>
  <c r="P80" i="1"/>
  <c r="X80" i="1"/>
  <c r="W79" i="1"/>
  <c r="T75" i="1"/>
  <c r="V77" i="1"/>
  <c r="U80" i="1"/>
  <c r="R74" i="1"/>
  <c r="S79" i="1"/>
  <c r="R78" i="1"/>
  <c r="Q76" i="1"/>
  <c r="P79" i="1"/>
  <c r="V80" i="1"/>
  <c r="S74" i="1"/>
  <c r="P75" i="1"/>
  <c r="X75" i="1"/>
  <c r="U76" i="1"/>
  <c r="R77" i="1"/>
  <c r="Z77" i="1"/>
  <c r="W78" i="1"/>
  <c r="T79" i="1"/>
  <c r="Q80" i="1"/>
  <c r="Y80" i="1"/>
  <c r="R75" i="1"/>
  <c r="Z75" i="1"/>
  <c r="T77" i="1"/>
  <c r="Y78" i="1"/>
  <c r="S80" i="1"/>
  <c r="P76" i="1"/>
  <c r="U77" i="1"/>
  <c r="T80" i="1"/>
  <c r="Y76" i="1"/>
  <c r="X79" i="1"/>
  <c r="T74" i="1"/>
  <c r="Q75" i="1"/>
  <c r="Y75" i="1"/>
  <c r="V76" i="1"/>
  <c r="S77" i="1"/>
  <c r="P78" i="1"/>
  <c r="X78" i="1"/>
  <c r="U79" i="1"/>
  <c r="R80" i="1"/>
  <c r="Z80" i="1"/>
  <c r="U74" i="1"/>
  <c r="W76" i="1"/>
  <c r="Q78" i="1"/>
  <c r="V79" i="1"/>
  <c r="S75" i="1"/>
  <c r="X76" i="1"/>
  <c r="Z78" i="1"/>
  <c r="W74" i="1"/>
  <c r="S78" i="1"/>
  <c r="V74" i="1"/>
  <c r="Q73" i="1"/>
  <c r="Y73" i="1"/>
  <c r="R73" i="1"/>
  <c r="Z73" i="1"/>
  <c r="S73" i="1"/>
  <c r="T73" i="1"/>
  <c r="U73" i="1"/>
  <c r="V73" i="1"/>
  <c r="X73" i="1"/>
  <c r="W73" i="1"/>
  <c r="P73" i="1"/>
  <c r="P65" i="1"/>
  <c r="X65" i="1"/>
  <c r="U66" i="1"/>
  <c r="R67" i="1"/>
  <c r="Z67" i="1"/>
  <c r="W68" i="1"/>
  <c r="T69" i="1"/>
  <c r="Q70" i="1"/>
  <c r="Y70" i="1"/>
  <c r="V71" i="1"/>
  <c r="P70" i="1"/>
  <c r="Q65" i="1"/>
  <c r="Y65" i="1"/>
  <c r="V66" i="1"/>
  <c r="S67" i="1"/>
  <c r="P68" i="1"/>
  <c r="X68" i="1"/>
  <c r="U69" i="1"/>
  <c r="R70" i="1"/>
  <c r="Z70" i="1"/>
  <c r="W71" i="1"/>
  <c r="Q67" i="1"/>
  <c r="R65" i="1"/>
  <c r="Z65" i="1"/>
  <c r="W66" i="1"/>
  <c r="T67" i="1"/>
  <c r="Q68" i="1"/>
  <c r="Y68" i="1"/>
  <c r="V69" i="1"/>
  <c r="S70" i="1"/>
  <c r="P71" i="1"/>
  <c r="X71" i="1"/>
  <c r="Y67" i="1"/>
  <c r="S65" i="1"/>
  <c r="P66" i="1"/>
  <c r="X66" i="1"/>
  <c r="U67" i="1"/>
  <c r="R68" i="1"/>
  <c r="Z68" i="1"/>
  <c r="W69" i="1"/>
  <c r="T70" i="1"/>
  <c r="Q71" i="1"/>
  <c r="Y71" i="1"/>
  <c r="V68" i="1"/>
  <c r="T65" i="1"/>
  <c r="Q66" i="1"/>
  <c r="Y66" i="1"/>
  <c r="V67" i="1"/>
  <c r="S68" i="1"/>
  <c r="P69" i="1"/>
  <c r="X69" i="1"/>
  <c r="U70" i="1"/>
  <c r="R71" i="1"/>
  <c r="Z71" i="1"/>
  <c r="S69" i="1"/>
  <c r="U65" i="1"/>
  <c r="R66" i="1"/>
  <c r="Z66" i="1"/>
  <c r="W67" i="1"/>
  <c r="T68" i="1"/>
  <c r="Q69" i="1"/>
  <c r="Y69" i="1"/>
  <c r="V70" i="1"/>
  <c r="S71" i="1"/>
  <c r="W65" i="1"/>
  <c r="X70" i="1"/>
  <c r="V65" i="1"/>
  <c r="S66" i="1"/>
  <c r="P67" i="1"/>
  <c r="X67" i="1"/>
  <c r="U68" i="1"/>
  <c r="R69" i="1"/>
  <c r="Z69" i="1"/>
  <c r="W70" i="1"/>
  <c r="T71" i="1"/>
  <c r="T66" i="1"/>
  <c r="U71" i="1"/>
  <c r="Q64" i="1"/>
  <c r="Y64" i="1"/>
  <c r="R64" i="1"/>
  <c r="Z64" i="1"/>
  <c r="S64" i="1"/>
  <c r="T64" i="1"/>
  <c r="U64" i="1"/>
  <c r="V64" i="1"/>
  <c r="W64" i="1"/>
  <c r="X64" i="1"/>
  <c r="P64" i="1"/>
  <c r="S63" i="1"/>
  <c r="T63" i="1"/>
  <c r="U63" i="1"/>
  <c r="V63" i="1"/>
  <c r="Q63" i="1"/>
  <c r="R63" i="1"/>
  <c r="W63" i="1"/>
  <c r="X63" i="1"/>
  <c r="Y63" i="1"/>
  <c r="Z63" i="1"/>
  <c r="P63" i="1"/>
  <c r="P54" i="1"/>
  <c r="X54" i="1"/>
  <c r="U55" i="1"/>
  <c r="R56" i="1"/>
  <c r="Z56" i="1"/>
  <c r="W57" i="1"/>
  <c r="T58" i="1"/>
  <c r="Q59" i="1"/>
  <c r="Y59" i="1"/>
  <c r="V60" i="1"/>
  <c r="Q56" i="1"/>
  <c r="Q54" i="1"/>
  <c r="Y54" i="1"/>
  <c r="V55" i="1"/>
  <c r="S56" i="1"/>
  <c r="P57" i="1"/>
  <c r="X57" i="1"/>
  <c r="U58" i="1"/>
  <c r="R59" i="1"/>
  <c r="Z59" i="1"/>
  <c r="W60" i="1"/>
  <c r="V57" i="1"/>
  <c r="R54" i="1"/>
  <c r="Z54" i="1"/>
  <c r="W55" i="1"/>
  <c r="T56" i="1"/>
  <c r="Q57" i="1"/>
  <c r="Y57" i="1"/>
  <c r="V58" i="1"/>
  <c r="S59" i="1"/>
  <c r="P60" i="1"/>
  <c r="X60" i="1"/>
  <c r="S58" i="1"/>
  <c r="S54" i="1"/>
  <c r="P55" i="1"/>
  <c r="X55" i="1"/>
  <c r="U56" i="1"/>
  <c r="R57" i="1"/>
  <c r="Z57" i="1"/>
  <c r="W58" i="1"/>
  <c r="T59" i="1"/>
  <c r="Q60" i="1"/>
  <c r="Y60" i="1"/>
  <c r="P59" i="1"/>
  <c r="T54" i="1"/>
  <c r="Q55" i="1"/>
  <c r="Y55" i="1"/>
  <c r="V56" i="1"/>
  <c r="S57" i="1"/>
  <c r="P58" i="1"/>
  <c r="X58" i="1"/>
  <c r="U59" i="1"/>
  <c r="R60" i="1"/>
  <c r="Z60" i="1"/>
  <c r="Y56" i="1"/>
  <c r="U60" i="1"/>
  <c r="U54" i="1"/>
  <c r="R55" i="1"/>
  <c r="Z55" i="1"/>
  <c r="W56" i="1"/>
  <c r="T57" i="1"/>
  <c r="Q58" i="1"/>
  <c r="Y58" i="1"/>
  <c r="V59" i="1"/>
  <c r="S60" i="1"/>
  <c r="W54" i="1"/>
  <c r="X59" i="1"/>
  <c r="V54" i="1"/>
  <c r="S55" i="1"/>
  <c r="P56" i="1"/>
  <c r="X56" i="1"/>
  <c r="U57" i="1"/>
  <c r="R58" i="1"/>
  <c r="Z58" i="1"/>
  <c r="W59" i="1"/>
  <c r="T60" i="1"/>
  <c r="T55" i="1"/>
  <c r="Q53" i="1"/>
  <c r="Y53" i="1"/>
  <c r="R53" i="1"/>
  <c r="Z53" i="1"/>
  <c r="S53" i="1"/>
  <c r="T53" i="1"/>
  <c r="U53" i="1"/>
  <c r="V53" i="1"/>
  <c r="X53" i="1"/>
  <c r="W53" i="1"/>
  <c r="P53" i="1"/>
  <c r="P45" i="1"/>
  <c r="X45" i="1"/>
  <c r="U46" i="1"/>
  <c r="R47" i="1"/>
  <c r="Q45" i="1"/>
  <c r="Y45" i="1"/>
  <c r="V46" i="1"/>
  <c r="S47" i="1"/>
  <c r="P48" i="1"/>
  <c r="X48" i="1"/>
  <c r="U49" i="1"/>
  <c r="R50" i="1"/>
  <c r="Z50" i="1"/>
  <c r="W51" i="1"/>
  <c r="V47" i="1"/>
  <c r="U50" i="1"/>
  <c r="P50" i="1"/>
  <c r="Y50" i="1"/>
  <c r="R45" i="1"/>
  <c r="Z45" i="1"/>
  <c r="W46" i="1"/>
  <c r="T47" i="1"/>
  <c r="Q48" i="1"/>
  <c r="Y48" i="1"/>
  <c r="V49" i="1"/>
  <c r="S50" i="1"/>
  <c r="P51" i="1"/>
  <c r="X51" i="1"/>
  <c r="Q46" i="1"/>
  <c r="X49" i="1"/>
  <c r="U51" i="1"/>
  <c r="T49" i="1"/>
  <c r="S45" i="1"/>
  <c r="P46" i="1"/>
  <c r="X46" i="1"/>
  <c r="U47" i="1"/>
  <c r="R48" i="1"/>
  <c r="Z48" i="1"/>
  <c r="W49" i="1"/>
  <c r="T50" i="1"/>
  <c r="Q51" i="1"/>
  <c r="Y51" i="1"/>
  <c r="Y46" i="1"/>
  <c r="P49" i="1"/>
  <c r="R51" i="1"/>
  <c r="Z47" i="1"/>
  <c r="T45" i="1"/>
  <c r="S48" i="1"/>
  <c r="Z51" i="1"/>
  <c r="V51" i="1"/>
  <c r="U45" i="1"/>
  <c r="R46" i="1"/>
  <c r="Z46" i="1"/>
  <c r="W47" i="1"/>
  <c r="T48" i="1"/>
  <c r="Q49" i="1"/>
  <c r="Y49" i="1"/>
  <c r="V50" i="1"/>
  <c r="S51" i="1"/>
  <c r="T46" i="1"/>
  <c r="Y47" i="1"/>
  <c r="S49" i="1"/>
  <c r="W48" i="1"/>
  <c r="V45" i="1"/>
  <c r="S46" i="1"/>
  <c r="P47" i="1"/>
  <c r="X47" i="1"/>
  <c r="U48" i="1"/>
  <c r="R49" i="1"/>
  <c r="Z49" i="1"/>
  <c r="W50" i="1"/>
  <c r="T51" i="1"/>
  <c r="W45" i="1"/>
  <c r="Q47" i="1"/>
  <c r="V48" i="1"/>
  <c r="X50" i="1"/>
  <c r="Q50" i="1"/>
  <c r="R44" i="1"/>
  <c r="Z44" i="1"/>
  <c r="S44" i="1"/>
  <c r="T44" i="1"/>
  <c r="U44" i="1"/>
  <c r="V44" i="1"/>
  <c r="Q44" i="1"/>
  <c r="W44" i="1"/>
  <c r="X44" i="1"/>
  <c r="Y44" i="1"/>
  <c r="P44" i="1"/>
  <c r="S34" i="1"/>
  <c r="T34" i="1"/>
  <c r="U34" i="1"/>
  <c r="Z34" i="1"/>
  <c r="V34" i="1"/>
  <c r="Q34" i="1"/>
  <c r="W34" i="1"/>
  <c r="X34" i="1"/>
  <c r="Y34" i="1"/>
  <c r="R34" i="1"/>
  <c r="P34" i="1"/>
  <c r="P36" i="1"/>
  <c r="X36" i="1"/>
  <c r="U37" i="1"/>
  <c r="R38" i="1"/>
  <c r="Z38" i="1"/>
  <c r="W39" i="1"/>
  <c r="T40" i="1"/>
  <c r="Q41" i="1"/>
  <c r="Y41" i="1"/>
  <c r="V42" i="1"/>
  <c r="Y36" i="1"/>
  <c r="V37" i="1"/>
  <c r="S38" i="1"/>
  <c r="P39" i="1"/>
  <c r="X39" i="1"/>
  <c r="U40" i="1"/>
  <c r="Q36" i="1"/>
  <c r="R36" i="1"/>
  <c r="Z36" i="1"/>
  <c r="W37" i="1"/>
  <c r="T38" i="1"/>
  <c r="Q39" i="1"/>
  <c r="Y39" i="1"/>
  <c r="V40" i="1"/>
  <c r="S41" i="1"/>
  <c r="P42" i="1"/>
  <c r="X42" i="1"/>
  <c r="Z37" i="1"/>
  <c r="Q40" i="1"/>
  <c r="Y38" i="1"/>
  <c r="Z41" i="1"/>
  <c r="S36" i="1"/>
  <c r="P37" i="1"/>
  <c r="X37" i="1"/>
  <c r="U38" i="1"/>
  <c r="R39" i="1"/>
  <c r="Z39" i="1"/>
  <c r="W40" i="1"/>
  <c r="T41" i="1"/>
  <c r="Q42" i="1"/>
  <c r="Y42" i="1"/>
  <c r="U36" i="1"/>
  <c r="T39" i="1"/>
  <c r="S42" i="1"/>
  <c r="P41" i="1"/>
  <c r="R41" i="1"/>
  <c r="T36" i="1"/>
  <c r="Q37" i="1"/>
  <c r="Y37" i="1"/>
  <c r="V38" i="1"/>
  <c r="S39" i="1"/>
  <c r="P40" i="1"/>
  <c r="X40" i="1"/>
  <c r="U41" i="1"/>
  <c r="R42" i="1"/>
  <c r="Z42" i="1"/>
  <c r="R37" i="1"/>
  <c r="W38" i="1"/>
  <c r="Y40" i="1"/>
  <c r="V39" i="1"/>
  <c r="X41" i="1"/>
  <c r="W42" i="1"/>
  <c r="V41" i="1"/>
  <c r="V36" i="1"/>
  <c r="S37" i="1"/>
  <c r="P38" i="1"/>
  <c r="X38" i="1"/>
  <c r="U39" i="1"/>
  <c r="R40" i="1"/>
  <c r="Z40" i="1"/>
  <c r="W41" i="1"/>
  <c r="T42" i="1"/>
  <c r="W36" i="1"/>
  <c r="T37" i="1"/>
  <c r="Q38" i="1"/>
  <c r="S40" i="1"/>
  <c r="U42" i="1"/>
  <c r="Q35" i="1"/>
  <c r="Y35" i="1"/>
  <c r="R35" i="1"/>
  <c r="Z35" i="1"/>
  <c r="S35" i="1"/>
  <c r="T35" i="1"/>
  <c r="U35" i="1"/>
  <c r="X35" i="1"/>
  <c r="V35" i="1"/>
  <c r="W35" i="1"/>
  <c r="P35" i="1"/>
  <c r="P25" i="1"/>
  <c r="Y30" i="1"/>
  <c r="X28" i="1"/>
  <c r="W26" i="1"/>
  <c r="S29" i="1"/>
  <c r="T30" i="1"/>
  <c r="S28" i="1"/>
  <c r="U25" i="1"/>
  <c r="S31" i="1"/>
  <c r="R29" i="1"/>
  <c r="V30" i="1"/>
  <c r="X25" i="1"/>
  <c r="V31" i="1"/>
  <c r="U29" i="1"/>
  <c r="T27" i="1"/>
  <c r="S25" i="1"/>
  <c r="Q31" i="1"/>
  <c r="P29" i="1"/>
  <c r="R26" i="1"/>
  <c r="W25" i="1"/>
  <c r="Z29" i="1"/>
  <c r="P28" i="1"/>
  <c r="U28" i="1"/>
  <c r="V28" i="1"/>
  <c r="R30" i="1"/>
  <c r="Q28" i="1"/>
  <c r="P26" i="1"/>
  <c r="Y31" i="1"/>
  <c r="X29" i="1"/>
  <c r="Z26" i="1"/>
  <c r="X30" i="1"/>
  <c r="W30" i="1"/>
  <c r="T26" i="1"/>
  <c r="X31" i="1"/>
  <c r="R27" i="1"/>
  <c r="Q25" i="1"/>
  <c r="Z30" i="1"/>
  <c r="Y28" i="1"/>
  <c r="X26" i="1"/>
  <c r="Y27" i="1"/>
  <c r="U30" i="1"/>
  <c r="W27" i="1"/>
  <c r="V25" i="1"/>
  <c r="T31" i="1"/>
  <c r="S26" i="1"/>
  <c r="W29" i="1"/>
  <c r="R24" i="1"/>
  <c r="Z27" i="1"/>
  <c r="Y25" i="1"/>
  <c r="W31" i="1"/>
  <c r="V29" i="1"/>
  <c r="U27" i="1"/>
  <c r="T25" i="1"/>
  <c r="R31" i="1"/>
  <c r="T28" i="1"/>
  <c r="Z25" i="1"/>
  <c r="U31" i="1"/>
  <c r="W28" i="1"/>
  <c r="V26" i="1"/>
  <c r="P30" i="1"/>
  <c r="S30" i="1"/>
  <c r="R28" i="1"/>
  <c r="Q26" i="1"/>
  <c r="Z31" i="1"/>
  <c r="Q29" i="1"/>
  <c r="P27" i="1"/>
  <c r="Q30" i="1"/>
  <c r="V27" i="1"/>
  <c r="S27" i="1"/>
  <c r="R25" i="1"/>
  <c r="P31" i="1"/>
  <c r="Z28" i="1"/>
  <c r="Y26" i="1"/>
  <c r="Q27" i="1"/>
  <c r="Y29" i="1"/>
  <c r="X27" i="1"/>
  <c r="T29" i="1"/>
  <c r="Z24" i="1"/>
  <c r="U26" i="1"/>
  <c r="P24" i="1"/>
  <c r="P16" i="1"/>
  <c r="P19" i="1"/>
  <c r="R18" i="1"/>
  <c r="S21" i="1"/>
  <c r="P17" i="1"/>
  <c r="Y22" i="1"/>
  <c r="T20" i="1"/>
  <c r="V21" i="1"/>
  <c r="S17" i="1"/>
  <c r="W16" i="1"/>
  <c r="P22" i="1"/>
  <c r="X17" i="1"/>
  <c r="Q17" i="1"/>
  <c r="U16" i="1"/>
  <c r="S22" i="1"/>
  <c r="P18" i="1"/>
  <c r="Q18" i="1"/>
  <c r="S15" i="1"/>
  <c r="T15" i="1"/>
  <c r="U19" i="1"/>
  <c r="S16" i="1"/>
  <c r="R15" i="1"/>
  <c r="U20" i="1"/>
  <c r="Z16" i="1"/>
  <c r="X22" i="1"/>
  <c r="U18" i="1"/>
  <c r="S19" i="1"/>
  <c r="R17" i="1"/>
  <c r="T17" i="1"/>
  <c r="X18" i="1"/>
  <c r="V19" i="1"/>
  <c r="Z17" i="1"/>
  <c r="P21" i="1"/>
  <c r="Z22" i="1"/>
  <c r="V22" i="1"/>
  <c r="R21" i="1"/>
  <c r="W17" i="1"/>
  <c r="Y17" i="1"/>
  <c r="R19" i="1"/>
  <c r="U21" i="1"/>
  <c r="Y18" i="1"/>
  <c r="X15" i="1"/>
  <c r="V16" i="1"/>
  <c r="Z21" i="1"/>
  <c r="T18" i="1"/>
  <c r="P20" i="1"/>
  <c r="Z19" i="1"/>
  <c r="X21" i="1"/>
  <c r="W18" i="1"/>
  <c r="S20" i="1"/>
  <c r="R20" i="1"/>
  <c r="W19" i="1"/>
  <c r="U15" i="1"/>
  <c r="V20" i="1"/>
  <c r="T22" i="1"/>
  <c r="W22" i="1"/>
  <c r="Q19" i="1"/>
  <c r="R22" i="1"/>
  <c r="W20" i="1"/>
  <c r="Y21" i="1"/>
  <c r="T19" i="1"/>
  <c r="U22" i="1"/>
  <c r="Z20" i="1"/>
  <c r="Q15" i="1"/>
  <c r="V15" i="1"/>
  <c r="S18" i="1"/>
  <c r="Q22" i="1"/>
  <c r="Z15" i="1"/>
  <c r="V18" i="1"/>
  <c r="Y19" i="1"/>
  <c r="Z18" i="1"/>
  <c r="T21" i="1"/>
  <c r="T16" i="1"/>
  <c r="Q20" i="1"/>
  <c r="Q21" i="1"/>
  <c r="W21" i="1"/>
  <c r="Y15" i="1"/>
  <c r="W15" i="1"/>
  <c r="X20" i="1"/>
  <c r="Y20" i="1"/>
  <c r="X19" i="1"/>
  <c r="X16" i="1"/>
  <c r="U17" i="1"/>
  <c r="P15" i="1"/>
  <c r="W24" i="1"/>
  <c r="V5" i="1"/>
  <c r="Q24" i="1"/>
  <c r="Y5" i="1"/>
  <c r="S5" i="1"/>
  <c r="Y24" i="1"/>
  <c r="V24" i="1"/>
  <c r="R5" i="1"/>
  <c r="U24" i="1"/>
  <c r="T5" i="1"/>
  <c r="X24" i="1"/>
  <c r="U5" i="1"/>
  <c r="T24" i="1"/>
  <c r="W5" i="1"/>
  <c r="S24" i="1"/>
  <c r="X5" i="1"/>
  <c r="Q5" i="1"/>
  <c r="Z5" i="1"/>
  <c r="P5" i="1"/>
  <c r="P7" i="1"/>
  <c r="Y12" i="1"/>
  <c r="R11" i="1"/>
  <c r="X10" i="1"/>
  <c r="R13" i="1"/>
  <c r="W8" i="1"/>
  <c r="W11" i="1"/>
  <c r="P12" i="1"/>
  <c r="U12" i="1"/>
  <c r="Q11" i="1"/>
  <c r="U11" i="1"/>
  <c r="X7" i="1"/>
  <c r="V13" i="1"/>
  <c r="T9" i="1"/>
  <c r="U8" i="1"/>
  <c r="T12" i="1"/>
  <c r="S11" i="1"/>
  <c r="R12" i="1"/>
  <c r="P9" i="1"/>
  <c r="Q10" i="1"/>
  <c r="P11" i="1"/>
  <c r="P8" i="1"/>
  <c r="V12" i="1"/>
  <c r="W12" i="1"/>
  <c r="Q6" i="1"/>
  <c r="W6" i="1"/>
  <c r="W13" i="1"/>
  <c r="T10" i="1"/>
  <c r="X12" i="1"/>
  <c r="V8" i="1"/>
  <c r="R10" i="1"/>
  <c r="Y6" i="1"/>
  <c r="Z6" i="1"/>
  <c r="S7" i="1"/>
  <c r="R9" i="1"/>
  <c r="Q8" i="1"/>
  <c r="Q7" i="1"/>
  <c r="Z12" i="1"/>
  <c r="Z11" i="1"/>
  <c r="Y10" i="1"/>
  <c r="Z13" i="1"/>
  <c r="X8" i="1"/>
  <c r="X9" i="1"/>
  <c r="T8" i="1"/>
  <c r="Y7" i="1"/>
  <c r="V11" i="1"/>
  <c r="T13" i="1"/>
  <c r="R8" i="1"/>
  <c r="U13" i="1"/>
  <c r="S12" i="1"/>
  <c r="V10" i="1"/>
  <c r="V9" i="1"/>
  <c r="W7" i="1"/>
  <c r="S8" i="1"/>
  <c r="Z9" i="1"/>
  <c r="X11" i="1"/>
  <c r="Q9" i="1"/>
  <c r="U9" i="1"/>
  <c r="X6" i="1"/>
  <c r="Z10" i="1"/>
  <c r="S13" i="1"/>
  <c r="S6" i="1"/>
  <c r="U7" i="1"/>
  <c r="W9" i="1"/>
  <c r="V6" i="1"/>
  <c r="W10" i="1"/>
  <c r="Y8" i="1"/>
  <c r="T11" i="1"/>
  <c r="Y11" i="1"/>
  <c r="S9" i="1"/>
  <c r="Y13" i="1"/>
  <c r="R7" i="1"/>
  <c r="P13" i="1"/>
  <c r="U10" i="1"/>
  <c r="Q13" i="1"/>
  <c r="T7" i="1"/>
  <c r="T6" i="1"/>
  <c r="R6" i="1"/>
  <c r="Q12" i="1"/>
  <c r="V7" i="1"/>
  <c r="P10" i="1"/>
  <c r="S10" i="1"/>
  <c r="Z7" i="1"/>
  <c r="X13" i="1"/>
  <c r="Y9" i="1"/>
  <c r="U6" i="1"/>
  <c r="Z8" i="1"/>
  <c r="P6" i="1"/>
  <c r="Q16" i="1" l="1"/>
  <c r="Y16" i="1"/>
  <c r="R16" i="1"/>
  <c r="V17" i="1"/>
</calcChain>
</file>

<file path=xl/sharedStrings.xml><?xml version="1.0" encoding="utf-8"?>
<sst xmlns="http://schemas.openxmlformats.org/spreadsheetml/2006/main" count="188" uniqueCount="34">
  <si>
    <t>performance_MACD</t>
  </si>
  <si>
    <t>Cum Return</t>
  </si>
  <si>
    <t>Total Trade</t>
  </si>
  <si>
    <t>%Win Trade</t>
  </si>
  <si>
    <t>Workbooks</t>
  </si>
  <si>
    <t>performance_ADX</t>
  </si>
  <si>
    <t>performance_CCI</t>
  </si>
  <si>
    <t>performance_EMA</t>
  </si>
  <si>
    <t>performance_KAMA</t>
  </si>
  <si>
    <t>performance_RSI</t>
  </si>
  <si>
    <t>performance_SAR</t>
  </si>
  <si>
    <t>performance_SMA</t>
  </si>
  <si>
    <t>Summary Relative</t>
  </si>
  <si>
    <t>ADX_</t>
  </si>
  <si>
    <t>Short Term</t>
  </si>
  <si>
    <t>Mid Term</t>
  </si>
  <si>
    <t>Long Term</t>
  </si>
  <si>
    <t>CCI_</t>
  </si>
  <si>
    <t>EMA_</t>
  </si>
  <si>
    <t>KAMA_</t>
  </si>
  <si>
    <t>5_34_5</t>
  </si>
  <si>
    <t>5_34_2</t>
  </si>
  <si>
    <t>12_26_9</t>
  </si>
  <si>
    <t>MACD_</t>
  </si>
  <si>
    <t>RSI_</t>
  </si>
  <si>
    <t>SAR_</t>
  </si>
  <si>
    <t>SMA_</t>
  </si>
  <si>
    <t>Custom1</t>
  </si>
  <si>
    <t>Custom2</t>
  </si>
  <si>
    <t>Default</t>
  </si>
  <si>
    <t>Row</t>
  </si>
  <si>
    <t>Offset</t>
  </si>
  <si>
    <t>Cummurative Return</t>
  </si>
  <si>
    <t>MidTerm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</si>
</sst>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Tahoma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7">
    <xf numFmtId="0" fontId="0" fillId="0" borderId="0" xfId="0"/>
    <xf numFmtId="0" fontId="1" fillId="2" borderId="1" xfId="1" applyAlignment="1">
      <alignment horizontal="center"/>
    </xf>
    <xf numFmtId="0" fontId="0" fillId="0" borderId="2" xfId="0" applyBorder="1" applyAlignment="1">
      <alignment horizontal="center"/>
    </xf>
    <xf numFmtId="0" fontId="2" fillId="0" borderId="2" xfId="0" applyFont="1" applyBorder="1" applyAlignment="1">
      <alignment horizontal="center"/>
    </xf>
    <xf numFmtId="10" fontId="0" fillId="0" borderId="2" xfId="0" applyNumberFormat="1" applyBorder="1"/>
    <xf numFmtId="0" fontId="0" fillId="0" borderId="2" xfId="0" applyNumberFormat="1" applyBorder="1"/>
    <xf numFmtId="0" fontId="3" fillId="0" borderId="0" xfId="0" applyFont="1"/>
    <xf numFmtId="0" fontId="3" fillId="0" borderId="3" xfId="0" applyFont="1" applyBorder="1"/>
    <xf numFmtId="0" fontId="0" fillId="0" borderId="3" xfId="0" applyBorder="1"/>
    <xf numFmtId="0" fontId="3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/>
    <xf numFmtId="0" fontId="5" fillId="0" borderId="0" xfId="0" applyFont="1"/>
    <xf numFmtId="0" fontId="7" fillId="0" borderId="0" xfId="0" applyFont="1" applyAlignment="1">
      <alignment horizontal="center"/>
    </xf>
    <xf numFmtId="0" fontId="0" fillId="0" borderId="0" xfId="0" applyNumberFormat="1"/>
    <xf numFmtId="0" fontId="6" fillId="0" borderId="0" xfId="0" applyFont="1"/>
    <xf numFmtId="0" fontId="6" fillId="0" borderId="0" xfId="0" applyFont="1" applyAlignment="1">
      <alignment horizontal="center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0</xdr:row>
          <xdr:rowOff>76200</xdr:rowOff>
        </xdr:from>
        <xdr:to>
          <xdr:col>4</xdr:col>
          <xdr:colOff>30480</xdr:colOff>
          <xdr:row>1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0A4BE-BDDE-4FD2-9370-2E46399A1566}">
  <sheetPr codeName="Sheet1"/>
  <dimension ref="A1:Z107"/>
  <sheetViews>
    <sheetView tabSelected="1" topLeftCell="B1" zoomScale="70" zoomScaleNormal="70" workbookViewId="0">
      <selection activeCell="AF17" sqref="AF17"/>
    </sheetView>
  </sheetViews>
  <sheetFormatPr defaultRowHeight="14.4" x14ac:dyDescent="0.3"/>
  <cols>
    <col min="1" max="1" width="12.6640625" hidden="1" customWidth="1"/>
    <col min="2" max="2" width="15.77734375" bestFit="1" customWidth="1"/>
    <col min="3" max="5" width="12.88671875" customWidth="1"/>
    <col min="6" max="19" width="12.6640625" customWidth="1"/>
  </cols>
  <sheetData>
    <row r="1" spans="1:26" x14ac:dyDescent="0.3">
      <c r="A1" t="s">
        <v>4</v>
      </c>
    </row>
    <row r="2" spans="1:26" x14ac:dyDescent="0.3">
      <c r="A2" t="s">
        <v>5</v>
      </c>
      <c r="B2" s="7" t="s">
        <v>12</v>
      </c>
      <c r="C2" s="8"/>
      <c r="D2" s="8"/>
      <c r="E2" s="8"/>
      <c r="F2" s="8"/>
      <c r="G2" s="8"/>
      <c r="H2" s="8"/>
      <c r="I2" s="8"/>
      <c r="J2" s="8"/>
      <c r="K2" s="8"/>
    </row>
    <row r="3" spans="1:26" ht="18" x14ac:dyDescent="0.35">
      <c r="A3" t="s">
        <v>6</v>
      </c>
      <c r="C3" s="9" t="s">
        <v>1</v>
      </c>
      <c r="D3" s="9"/>
      <c r="E3" s="9"/>
      <c r="F3" s="9" t="s">
        <v>2</v>
      </c>
      <c r="G3" s="9"/>
      <c r="H3" s="9"/>
      <c r="I3" s="9" t="s">
        <v>3</v>
      </c>
      <c r="J3" s="9"/>
      <c r="K3" s="9"/>
      <c r="P3" s="13" t="s">
        <v>32</v>
      </c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x14ac:dyDescent="0.3">
      <c r="A4" t="s">
        <v>7</v>
      </c>
      <c r="C4" s="1">
        <v>10</v>
      </c>
      <c r="D4" s="1">
        <v>14</v>
      </c>
      <c r="E4" s="1">
        <v>19</v>
      </c>
      <c r="F4" s="2">
        <v>10</v>
      </c>
      <c r="G4" s="2">
        <v>14</v>
      </c>
      <c r="H4" s="2">
        <v>19</v>
      </c>
      <c r="I4" s="2">
        <v>10</v>
      </c>
      <c r="J4" s="2">
        <v>14</v>
      </c>
      <c r="K4" s="2">
        <v>19</v>
      </c>
      <c r="N4" s="15"/>
      <c r="O4" s="15" t="s">
        <v>31</v>
      </c>
      <c r="P4" s="15">
        <v>1</v>
      </c>
      <c r="Q4" s="15">
        <v>2</v>
      </c>
      <c r="R4" s="15">
        <v>3</v>
      </c>
      <c r="S4" s="15">
        <v>4</v>
      </c>
      <c r="T4" s="15">
        <v>5</v>
      </c>
      <c r="U4" s="15">
        <v>6</v>
      </c>
      <c r="V4" s="15">
        <v>7</v>
      </c>
      <c r="W4" s="15">
        <v>8</v>
      </c>
      <c r="X4" s="15">
        <v>9</v>
      </c>
      <c r="Y4" s="15">
        <v>10</v>
      </c>
      <c r="Z4" s="15">
        <v>11</v>
      </c>
    </row>
    <row r="5" spans="1:26" x14ac:dyDescent="0.3">
      <c r="A5" t="s">
        <v>8</v>
      </c>
      <c r="B5" t="s">
        <v>13</v>
      </c>
      <c r="C5" s="3" t="s">
        <v>14</v>
      </c>
      <c r="D5" s="3" t="s">
        <v>15</v>
      </c>
      <c r="E5" s="3" t="s">
        <v>16</v>
      </c>
      <c r="F5" s="3" t="s">
        <v>14</v>
      </c>
      <c r="G5" s="3" t="s">
        <v>15</v>
      </c>
      <c r="H5" s="3" t="s">
        <v>16</v>
      </c>
      <c r="I5" s="3" t="s">
        <v>14</v>
      </c>
      <c r="J5" s="3" t="s">
        <v>15</v>
      </c>
      <c r="K5" s="3" t="s">
        <v>16</v>
      </c>
      <c r="N5" s="16" t="s">
        <v>30</v>
      </c>
      <c r="O5" s="12" t="s">
        <v>14</v>
      </c>
      <c r="P5" s="12">
        <f ca="1">INDIRECT(ADDRESS($N6+P$4,2))</f>
        <v>2008</v>
      </c>
      <c r="Q5" s="12">
        <f ca="1">INDIRECT(ADDRESS($N6+Q$4,2))</f>
        <v>2009</v>
      </c>
      <c r="R5" s="12">
        <f ca="1">INDIRECT(ADDRESS($N6+R$4,2))</f>
        <v>2010</v>
      </c>
      <c r="S5" s="12">
        <f ca="1">INDIRECT(ADDRESS($N6+S$4,2))</f>
        <v>2011</v>
      </c>
      <c r="T5" s="12">
        <f ca="1">INDIRECT(ADDRESS($N6+T$4,2))</f>
        <v>2012</v>
      </c>
      <c r="U5" s="12">
        <f ca="1">INDIRECT(ADDRESS($N6+U$4,2))</f>
        <v>2013</v>
      </c>
      <c r="V5" s="12">
        <f ca="1">INDIRECT(ADDRESS($N6+V$4,2))</f>
        <v>2014</v>
      </c>
      <c r="W5" s="12">
        <f ca="1">INDIRECT(ADDRESS($N6+W$4,2))</f>
        <v>2015</v>
      </c>
      <c r="X5" s="12">
        <f ca="1">INDIRECT(ADDRESS($N6+X$4,2))</f>
        <v>2016</v>
      </c>
      <c r="Y5" s="12">
        <f ca="1">INDIRECT(ADDRESS($N6+Y$4,2))</f>
        <v>2017</v>
      </c>
      <c r="Z5" s="12">
        <f ca="1">INDIRECT(ADDRESS($N6+Z$4,2))</f>
        <v>2018</v>
      </c>
    </row>
    <row r="6" spans="1:26" x14ac:dyDescent="0.3">
      <c r="A6" t="s">
        <v>0</v>
      </c>
      <c r="B6" s="6">
        <v>2008</v>
      </c>
      <c r="C6" s="4">
        <v>0.13051367964769911</v>
      </c>
      <c r="D6" s="4">
        <v>8.5784204826217847E-2</v>
      </c>
      <c r="E6" s="4">
        <v>5.3990474914678233E-2</v>
      </c>
      <c r="F6" s="5">
        <v>94</v>
      </c>
      <c r="G6" s="5">
        <v>81</v>
      </c>
      <c r="H6" s="5">
        <v>57</v>
      </c>
      <c r="I6" s="4">
        <v>0.64893617021276595</v>
      </c>
      <c r="J6" s="4">
        <v>0.61728395061728392</v>
      </c>
      <c r="K6" s="4">
        <v>0.63157894736842102</v>
      </c>
      <c r="N6" s="15">
        <f>MATCH(O6,B:B,0)</f>
        <v>5</v>
      </c>
      <c r="O6" s="12" t="s">
        <v>13</v>
      </c>
      <c r="P6" s="11">
        <f ca="1">INDIRECT(ADDRESS($N6+P$4,3))</f>
        <v>0.13051367964769911</v>
      </c>
      <c r="Q6" s="11">
        <f ca="1">INDIRECT(ADDRESS($N6+Q$4,3))</f>
        <v>9.7258655930136939E-3</v>
      </c>
      <c r="R6" s="11">
        <f ca="1">INDIRECT(ADDRESS($N6+R$4,3))</f>
        <v>-2.5471692940440605E-2</v>
      </c>
      <c r="S6" s="11">
        <f ca="1">INDIRECT(ADDRESS($N6+S$4,3))</f>
        <v>5.43765887029517E-2</v>
      </c>
      <c r="T6" s="11">
        <f ca="1">INDIRECT(ADDRESS($N6+T$4,3))</f>
        <v>0.12140822153768593</v>
      </c>
      <c r="U6" s="11">
        <f ca="1">INDIRECT(ADDRESS($N6+U$4,3))</f>
        <v>0.15313376182960248</v>
      </c>
      <c r="V6" s="11">
        <f ca="1">INDIRECT(ADDRESS($N6+V$4,3))</f>
        <v>2.3060636800466661E-2</v>
      </c>
      <c r="W6" s="11">
        <f ca="1">INDIRECT(ADDRESS($N6+W$4,3))</f>
        <v>0.19566438584932588</v>
      </c>
      <c r="X6" s="11">
        <f ca="1">INDIRECT(ADDRESS($N6+X$4,3))</f>
        <v>3.0964142074351386E-2</v>
      </c>
      <c r="Y6" s="11">
        <f ca="1">INDIRECT(ADDRESS($N6+Y$4,3))</f>
        <v>4.6184933260759786E-2</v>
      </c>
      <c r="Z6" s="11">
        <f ca="1">INDIRECT(ADDRESS($N6+Z$4,3))</f>
        <v>0.11084322303385763</v>
      </c>
    </row>
    <row r="7" spans="1:26" x14ac:dyDescent="0.3">
      <c r="A7" t="s">
        <v>9</v>
      </c>
      <c r="B7" s="6">
        <v>2009</v>
      </c>
      <c r="C7" s="4">
        <v>9.7258655930136939E-3</v>
      </c>
      <c r="D7" s="4">
        <v>1.5467986388606469E-4</v>
      </c>
      <c r="E7" s="4">
        <v>-1.6201674949934408E-2</v>
      </c>
      <c r="F7" s="5">
        <v>22</v>
      </c>
      <c r="G7" s="5">
        <v>18</v>
      </c>
      <c r="H7" s="5">
        <v>15</v>
      </c>
      <c r="I7" s="4">
        <v>0.54545454545454541</v>
      </c>
      <c r="J7" s="4">
        <v>0.55555555555555558</v>
      </c>
      <c r="K7" s="4">
        <v>0.46666666666666667</v>
      </c>
      <c r="N7" s="15">
        <f>MATCH(O7,B:B,0)</f>
        <v>18</v>
      </c>
      <c r="O7" s="12" t="s">
        <v>17</v>
      </c>
      <c r="P7" s="11">
        <f ca="1">INDIRECT(ADDRESS($N7+P$4,3))</f>
        <v>0.12091900035572656</v>
      </c>
      <c r="Q7" s="11">
        <f ca="1">INDIRECT(ADDRESS($N7+Q$4,3))</f>
        <v>4.5383886753565417E-2</v>
      </c>
      <c r="R7" s="11">
        <f ca="1">INDIRECT(ADDRESS($N7+R$4,3))</f>
        <v>-1.9636339854543605E-2</v>
      </c>
      <c r="S7" s="11">
        <f ca="1">INDIRECT(ADDRESS($N7+S$4,3))</f>
        <v>8.1046019172063444E-2</v>
      </c>
      <c r="T7" s="11">
        <f ca="1">INDIRECT(ADDRESS($N7+T$4,3))</f>
        <v>0.10027794301338533</v>
      </c>
      <c r="U7" s="11">
        <f ca="1">INDIRECT(ADDRESS($N7+U$4,3))</f>
        <v>0.13088917133533307</v>
      </c>
      <c r="V7" s="11">
        <f ca="1">INDIRECT(ADDRESS($N7+V$4,3))</f>
        <v>5.1786556101013348E-2</v>
      </c>
      <c r="W7" s="11">
        <f ca="1">INDIRECT(ADDRESS($N7+W$4,3))</f>
        <v>0.17007354031977351</v>
      </c>
      <c r="X7" s="11">
        <f ca="1">INDIRECT(ADDRESS($N7+X$4,3))</f>
        <v>7.7814292619450942E-2</v>
      </c>
      <c r="Y7" s="11">
        <f ca="1">INDIRECT(ADDRESS($N7+Y$4,3))</f>
        <v>2.2180715542149176E-2</v>
      </c>
      <c r="Z7" s="11">
        <f ca="1">INDIRECT(ADDRESS($N7+Z$4,3))</f>
        <v>4.0077160323899408E-2</v>
      </c>
    </row>
    <row r="8" spans="1:26" x14ac:dyDescent="0.3">
      <c r="A8" t="s">
        <v>10</v>
      </c>
      <c r="B8" s="6">
        <v>2010</v>
      </c>
      <c r="C8" s="4">
        <v>-2.5471692940440605E-2</v>
      </c>
      <c r="D8" s="4">
        <v>-9.3651811700278254E-3</v>
      </c>
      <c r="E8" s="4">
        <v>-8.7626307604569131E-3</v>
      </c>
      <c r="F8" s="5">
        <v>31</v>
      </c>
      <c r="G8" s="5">
        <v>16</v>
      </c>
      <c r="H8" s="5">
        <v>10</v>
      </c>
      <c r="I8" s="4">
        <v>0.4838709677419355</v>
      </c>
      <c r="J8" s="4">
        <v>0.375</v>
      </c>
      <c r="K8" s="4">
        <v>0.3</v>
      </c>
      <c r="L8" s="6"/>
      <c r="N8" s="15">
        <f>MATCH(O8,B:B,0)</f>
        <v>31</v>
      </c>
      <c r="O8" s="12" t="s">
        <v>18</v>
      </c>
      <c r="P8" s="11">
        <f ca="1">INDIRECT(ADDRESS($N8+P$4,3))</f>
        <v>0.14035540565816751</v>
      </c>
      <c r="Q8" s="11">
        <f ca="1">INDIRECT(ADDRESS($N8+Q$4,3))</f>
        <v>-1.4300100379496583E-2</v>
      </c>
      <c r="R8" s="11">
        <f ca="1">INDIRECT(ADDRESS($N8+R$4,3))</f>
        <v>-5.4714369291716136E-2</v>
      </c>
      <c r="S8" s="11">
        <f ca="1">INDIRECT(ADDRESS($N8+S$4,3))</f>
        <v>4.7641020469964213E-2</v>
      </c>
      <c r="T8" s="11">
        <f ca="1">INDIRECT(ADDRESS($N8+T$4,3))</f>
        <v>2.4529981609646478E-2</v>
      </c>
      <c r="U8" s="11">
        <f ca="1">INDIRECT(ADDRESS($N8+U$4,3))</f>
        <v>0.14248268214860538</v>
      </c>
      <c r="V8" s="11">
        <f ca="1">INDIRECT(ADDRESS($N8+V$4,3))</f>
        <v>1.7042729977287951E-3</v>
      </c>
      <c r="W8" s="11">
        <f ca="1">INDIRECT(ADDRESS($N8+W$4,3))</f>
        <v>0.17340851381293398</v>
      </c>
      <c r="X8" s="11">
        <f ca="1">INDIRECT(ADDRESS($N8+X$4,3))</f>
        <v>-3.6135096360735752E-2</v>
      </c>
      <c r="Y8" s="11">
        <f ca="1">INDIRECT(ADDRESS($N8+Y$4,3))</f>
        <v>-1.9600370399621703E-2</v>
      </c>
      <c r="Z8" s="11">
        <f ca="1">INDIRECT(ADDRESS($N8+Z$4,3))</f>
        <v>-1.7131195131677046E-2</v>
      </c>
    </row>
    <row r="9" spans="1:26" x14ac:dyDescent="0.3">
      <c r="A9" t="s">
        <v>11</v>
      </c>
      <c r="B9" s="6">
        <v>2011</v>
      </c>
      <c r="C9" s="4">
        <v>5.43765887029517E-2</v>
      </c>
      <c r="D9" s="4">
        <v>4.6282472517863216E-2</v>
      </c>
      <c r="E9" s="4">
        <v>3.6168155425293502E-2</v>
      </c>
      <c r="F9" s="5">
        <v>95</v>
      </c>
      <c r="G9" s="5">
        <v>74</v>
      </c>
      <c r="H9" s="5">
        <v>65</v>
      </c>
      <c r="I9" s="4">
        <v>0.55789473684210522</v>
      </c>
      <c r="J9" s="4">
        <v>0.56756756756756754</v>
      </c>
      <c r="K9" s="4">
        <v>0.52307692307692311</v>
      </c>
      <c r="L9" s="6"/>
      <c r="N9" s="15">
        <f>MATCH(O9,B:B,0)</f>
        <v>44</v>
      </c>
      <c r="O9" s="12" t="s">
        <v>19</v>
      </c>
      <c r="P9" s="11">
        <f ca="1">INDIRECT(ADDRESS($N9+P$4,3))</f>
        <v>3.9439789797504288E-2</v>
      </c>
      <c r="Q9" s="11">
        <f ca="1">INDIRECT(ADDRESS($N9+Q$4,3))</f>
        <v>-7.6013999751893824E-3</v>
      </c>
      <c r="R9" s="11">
        <f ca="1">INDIRECT(ADDRESS($N9+R$4,3))</f>
        <v>-5.9266821334757913E-2</v>
      </c>
      <c r="S9" s="11">
        <f ca="1">INDIRECT(ADDRESS($N9+S$4,3))</f>
        <v>5.2376805489853684E-2</v>
      </c>
      <c r="T9" s="11">
        <f ca="1">INDIRECT(ADDRESS($N9+T$4,3))</f>
        <v>2.8000916339230519E-2</v>
      </c>
      <c r="U9" s="11">
        <f ca="1">INDIRECT(ADDRESS($N9+U$4,3))</f>
        <v>0.1434652446218061</v>
      </c>
      <c r="V9" s="11">
        <f ca="1">INDIRECT(ADDRESS($N9+V$4,3))</f>
        <v>-6.3088727330846694E-3</v>
      </c>
      <c r="W9" s="11">
        <f ca="1">INDIRECT(ADDRESS($N9+W$4,3))</f>
        <v>0.19905407802373798</v>
      </c>
      <c r="X9" s="11">
        <f ca="1">INDIRECT(ADDRESS($N9+X$4,3))</f>
        <v>-1.7003771548690261E-2</v>
      </c>
      <c r="Y9" s="11">
        <f ca="1">INDIRECT(ADDRESS($N9+Y$4,3))</f>
        <v>-3.0362183467008808E-2</v>
      </c>
      <c r="Z9" s="11">
        <f ca="1">INDIRECT(ADDRESS($N9+Z$4,3))</f>
        <v>-6.9220578361371965E-2</v>
      </c>
    </row>
    <row r="10" spans="1:26" x14ac:dyDescent="0.3">
      <c r="B10" s="6">
        <v>2012</v>
      </c>
      <c r="C10" s="4">
        <v>0.12140822153768593</v>
      </c>
      <c r="D10" s="4">
        <v>8.8896637441187254E-2</v>
      </c>
      <c r="E10" s="4">
        <v>8.3227858115025644E-2</v>
      </c>
      <c r="F10" s="5">
        <v>112</v>
      </c>
      <c r="G10" s="5">
        <v>114</v>
      </c>
      <c r="H10" s="5">
        <v>93</v>
      </c>
      <c r="I10" s="4">
        <v>0.6428571428571429</v>
      </c>
      <c r="J10" s="4">
        <v>0.59649122807017541</v>
      </c>
      <c r="K10" s="4">
        <v>0.61290322580645162</v>
      </c>
      <c r="L10" s="6"/>
      <c r="M10" s="6"/>
      <c r="N10" s="15">
        <f>MATCH(O10,B:B,0)</f>
        <v>57</v>
      </c>
      <c r="O10" s="12" t="s">
        <v>23</v>
      </c>
      <c r="P10" s="11">
        <f ca="1">INDIRECT(ADDRESS($N10+P$4,3))</f>
        <v>0.24171635783992818</v>
      </c>
      <c r="Q10" s="11">
        <f ca="1">INDIRECT(ADDRESS($N10+Q$4,3))</f>
        <v>3.7806590079107805E-2</v>
      </c>
      <c r="R10" s="11">
        <f ca="1">INDIRECT(ADDRESS($N10+R$4,3))</f>
        <v>1.5845994453385082E-2</v>
      </c>
      <c r="S10" s="11">
        <f ca="1">INDIRECT(ADDRESS($N10+S$4,3))</f>
        <v>0.10711361918244311</v>
      </c>
      <c r="T10" s="11">
        <f ca="1">INDIRECT(ADDRESS($N10+T$4,3))</f>
        <v>0.17268689145706428</v>
      </c>
      <c r="U10" s="11">
        <f ca="1">INDIRECT(ADDRESS($N10+U$4,3))</f>
        <v>0.18852385475967459</v>
      </c>
      <c r="V10" s="11">
        <f ca="1">INDIRECT(ADDRESS($N10+V$4,3))</f>
        <v>7.5566743771525724E-2</v>
      </c>
      <c r="W10" s="11">
        <f ca="1">INDIRECT(ADDRESS($N10+W$4,3))</f>
        <v>0.23562801192967431</v>
      </c>
      <c r="X10" s="11">
        <f ca="1">INDIRECT(ADDRESS($N10+X$4,3))</f>
        <v>8.8502318944634117E-2</v>
      </c>
      <c r="Y10" s="11">
        <f ca="1">INDIRECT(ADDRESS($N10+Y$4,3))</f>
        <v>5.0569100529602062E-2</v>
      </c>
      <c r="Z10" s="11">
        <f ca="1">INDIRECT(ADDRESS($N10+Z$4,3))</f>
        <v>0.14289103195235908</v>
      </c>
    </row>
    <row r="11" spans="1:26" x14ac:dyDescent="0.3">
      <c r="B11" s="6">
        <v>2013</v>
      </c>
      <c r="C11" s="4">
        <v>0.15313376182960248</v>
      </c>
      <c r="D11" s="4">
        <v>0.12911044686859441</v>
      </c>
      <c r="E11" s="4">
        <v>0.11933011026516205</v>
      </c>
      <c r="F11" s="5">
        <v>145</v>
      </c>
      <c r="G11" s="5">
        <v>131</v>
      </c>
      <c r="H11" s="5">
        <v>121</v>
      </c>
      <c r="I11" s="4">
        <v>0.60689655172413792</v>
      </c>
      <c r="J11" s="4">
        <v>0.59541984732824427</v>
      </c>
      <c r="K11" s="4">
        <v>0.61157024793388426</v>
      </c>
      <c r="L11" s="6"/>
      <c r="M11" s="6"/>
      <c r="N11" s="15">
        <f>MATCH(O11,B:B,0)</f>
        <v>70</v>
      </c>
      <c r="O11" s="12" t="s">
        <v>24</v>
      </c>
      <c r="P11" s="11">
        <f ca="1">INDIRECT(ADDRESS($N11+P$4,3))</f>
        <v>0.13958162744248748</v>
      </c>
      <c r="Q11" s="11">
        <f ca="1">INDIRECT(ADDRESS($N11+Q$4,3))</f>
        <v>4.9104852466965943E-2</v>
      </c>
      <c r="R11" s="11">
        <f ca="1">INDIRECT(ADDRESS($N11+R$4,3))</f>
        <v>-6.8492019824412109E-3</v>
      </c>
      <c r="S11" s="11">
        <f ca="1">INDIRECT(ADDRESS($N11+S$4,3))</f>
        <v>0.10496461152807535</v>
      </c>
      <c r="T11" s="11">
        <f ca="1">INDIRECT(ADDRESS($N11+T$4,3))</f>
        <v>0.10212825452416507</v>
      </c>
      <c r="U11" s="11">
        <f ca="1">INDIRECT(ADDRESS($N11+U$4,3))</f>
        <v>0.11853613558521303</v>
      </c>
      <c r="V11" s="11">
        <f ca="1">INDIRECT(ADDRESS($N11+V$4,3))</f>
        <v>8.0862121266932485E-2</v>
      </c>
      <c r="W11" s="11">
        <f ca="1">INDIRECT(ADDRESS($N11+W$4,3))</f>
        <v>0.17878328330386783</v>
      </c>
      <c r="X11" s="11">
        <f ca="1">INDIRECT(ADDRESS($N11+X$4,3))</f>
        <v>9.0768379226385365E-2</v>
      </c>
      <c r="Y11" s="11">
        <f ca="1">INDIRECT(ADDRESS($N11+Y$4,3))</f>
        <v>5.6368998301951079E-2</v>
      </c>
      <c r="Z11" s="11">
        <f ca="1">INDIRECT(ADDRESS($N11+Z$4,3))</f>
        <v>0.1194009205033244</v>
      </c>
    </row>
    <row r="12" spans="1:26" x14ac:dyDescent="0.3">
      <c r="B12" s="6">
        <v>2014</v>
      </c>
      <c r="C12" s="4">
        <v>2.3060636800466661E-2</v>
      </c>
      <c r="D12" s="4">
        <v>2.2797148471057627E-2</v>
      </c>
      <c r="E12" s="4">
        <v>2.8979146902849973E-3</v>
      </c>
      <c r="F12" s="5">
        <v>54</v>
      </c>
      <c r="G12" s="5">
        <v>38</v>
      </c>
      <c r="H12" s="5">
        <v>19</v>
      </c>
      <c r="I12" s="4">
        <v>0.53703703703703709</v>
      </c>
      <c r="J12" s="4">
        <v>0.55263157894736847</v>
      </c>
      <c r="K12" s="4">
        <v>0.47368421052631576</v>
      </c>
      <c r="L12" s="6"/>
      <c r="M12" s="6"/>
      <c r="N12" s="15">
        <f>MATCH(O12,B:B,0)</f>
        <v>83</v>
      </c>
      <c r="O12" s="12" t="s">
        <v>25</v>
      </c>
      <c r="P12" s="11">
        <f ca="1">INDIRECT(ADDRESS($N12+P$4,3))</f>
        <v>0.15543782635058712</v>
      </c>
      <c r="Q12" s="11">
        <f ca="1">INDIRECT(ADDRESS($N12+Q$4,3))</f>
        <v>2.4057669089071698E-2</v>
      </c>
      <c r="R12" s="11">
        <f ca="1">INDIRECT(ADDRESS($N12+R$4,3))</f>
        <v>-2.2839266244187972E-2</v>
      </c>
      <c r="S12" s="11">
        <f ca="1">INDIRECT(ADDRESS($N12+S$4,3))</f>
        <v>6.0897615393926685E-2</v>
      </c>
      <c r="T12" s="11">
        <f ca="1">INDIRECT(ADDRESS($N12+T$4,3))</f>
        <v>0.10510374456138227</v>
      </c>
      <c r="U12" s="11">
        <f ca="1">INDIRECT(ADDRESS($N12+U$4,3))</f>
        <v>0.2013794860435405</v>
      </c>
      <c r="V12" s="11">
        <f ca="1">INDIRECT(ADDRESS($N12+V$4,3))</f>
        <v>4.2465800821622102E-2</v>
      </c>
      <c r="W12" s="11">
        <f ca="1">INDIRECT(ADDRESS($N12+W$4,3))</f>
        <v>0.22063568720150495</v>
      </c>
      <c r="X12" s="11">
        <f ca="1">INDIRECT(ADDRESS($N12+X$4,3))</f>
        <v>7.1273703311923065E-2</v>
      </c>
      <c r="Y12" s="11">
        <f ca="1">INDIRECT(ADDRESS($N12+Y$4,3))</f>
        <v>3.0411047383144041E-2</v>
      </c>
      <c r="Z12" s="11">
        <f ca="1">INDIRECT(ADDRESS($N12+Z$4,3))</f>
        <v>5.3525029984608175E-2</v>
      </c>
    </row>
    <row r="13" spans="1:26" x14ac:dyDescent="0.3">
      <c r="B13" s="6">
        <v>2015</v>
      </c>
      <c r="C13" s="4">
        <v>0.19566438584932588</v>
      </c>
      <c r="D13" s="4">
        <v>0.16156932158072634</v>
      </c>
      <c r="E13" s="4">
        <v>0.12316753166451866</v>
      </c>
      <c r="F13" s="5">
        <v>99</v>
      </c>
      <c r="G13" s="5">
        <v>93</v>
      </c>
      <c r="H13" s="5">
        <v>87</v>
      </c>
      <c r="I13" s="4">
        <v>0.69696969696969702</v>
      </c>
      <c r="J13" s="4">
        <v>0.69892473118279574</v>
      </c>
      <c r="K13" s="4">
        <v>0.68965517241379315</v>
      </c>
      <c r="L13" s="6"/>
      <c r="M13" s="6"/>
      <c r="N13" s="15">
        <f>MATCH(O13,B:B,0)</f>
        <v>96</v>
      </c>
      <c r="O13" s="12" t="s">
        <v>26</v>
      </c>
      <c r="P13" s="11">
        <f ca="1">INDIRECT(ADDRESS($N13+P$4,3))</f>
        <v>0.13005165399768481</v>
      </c>
      <c r="Q13" s="11">
        <f ca="1">INDIRECT(ADDRESS($N13+Q$4,3))</f>
        <v>2.8386725796325507E-4</v>
      </c>
      <c r="R13" s="11">
        <f ca="1">INDIRECT(ADDRESS($N13+R$4,3))</f>
        <v>-4.1381441563409394E-2</v>
      </c>
      <c r="S13" s="11">
        <f ca="1">INDIRECT(ADDRESS($N13+S$4,3))</f>
        <v>3.7517879173057933E-2</v>
      </c>
      <c r="T13" s="11">
        <f ca="1">INDIRECT(ADDRESS($N13+T$4,3))</f>
        <v>3.4272045092504699E-2</v>
      </c>
      <c r="U13" s="11">
        <f ca="1">INDIRECT(ADDRESS($N13+U$4,3))</f>
        <v>0.15440451624063711</v>
      </c>
      <c r="V13" s="11">
        <f ca="1">INDIRECT(ADDRESS($N13+V$4,3))</f>
        <v>1.0358817765271144E-2</v>
      </c>
      <c r="W13" s="11">
        <f ca="1">INDIRECT(ADDRESS($N13+W$4,3))</f>
        <v>0.15603546386865852</v>
      </c>
      <c r="X13" s="11">
        <f ca="1">INDIRECT(ADDRESS($N13+X$4,3))</f>
        <v>-3.3141738646773611E-2</v>
      </c>
      <c r="Y13" s="11">
        <f ca="1">INDIRECT(ADDRESS($N13+Y$4,3))</f>
        <v>-3.7473387611124842E-2</v>
      </c>
      <c r="Z13" s="11">
        <f ca="1">INDIRECT(ADDRESS($N13+Z$4,3))</f>
        <v>2.9313918339176626E-2</v>
      </c>
    </row>
    <row r="14" spans="1:26" x14ac:dyDescent="0.3">
      <c r="B14" s="6">
        <v>2016</v>
      </c>
      <c r="C14" s="4">
        <v>3.0964142074351386E-2</v>
      </c>
      <c r="D14" s="4">
        <v>-2.2594759116125962E-2</v>
      </c>
      <c r="E14" s="4">
        <v>-6.8704461076498635E-3</v>
      </c>
      <c r="F14" s="5">
        <v>61</v>
      </c>
      <c r="G14" s="5">
        <v>28</v>
      </c>
      <c r="H14" s="5">
        <v>6</v>
      </c>
      <c r="I14" s="4">
        <v>0.47540983606557374</v>
      </c>
      <c r="J14" s="4">
        <v>0.39285714285714285</v>
      </c>
      <c r="K14" s="4">
        <v>0.33333333333333331</v>
      </c>
      <c r="L14" s="6"/>
      <c r="M14" s="6"/>
      <c r="O14" s="12" t="s">
        <v>15</v>
      </c>
      <c r="P14" s="10"/>
      <c r="R14" s="6"/>
      <c r="S14" s="6"/>
    </row>
    <row r="15" spans="1:26" x14ac:dyDescent="0.3">
      <c r="B15" s="6">
        <v>2017</v>
      </c>
      <c r="C15" s="4">
        <v>4.6184933260759786E-2</v>
      </c>
      <c r="D15" s="4">
        <v>2.5367215074636684E-2</v>
      </c>
      <c r="E15" s="4">
        <v>7.4813431305313927E-3</v>
      </c>
      <c r="F15" s="5">
        <v>35</v>
      </c>
      <c r="G15" s="5">
        <v>30</v>
      </c>
      <c r="H15" s="5">
        <v>19</v>
      </c>
      <c r="I15" s="4">
        <v>0.6</v>
      </c>
      <c r="J15" s="4">
        <v>0.6</v>
      </c>
      <c r="K15" s="4">
        <v>0.47368421052631576</v>
      </c>
      <c r="L15" s="6"/>
      <c r="M15" s="6"/>
      <c r="O15" s="12" t="s">
        <v>13</v>
      </c>
      <c r="P15" s="11">
        <f ca="1">INDIRECT(ADDRESS($N6+P$4,4))</f>
        <v>8.5784204826217847E-2</v>
      </c>
      <c r="Q15" s="11">
        <f ca="1">INDIRECT(ADDRESS($N6+Q$4,4))</f>
        <v>1.5467986388606469E-4</v>
      </c>
      <c r="R15" s="11">
        <f ca="1">INDIRECT(ADDRESS($N6+R$4,4))</f>
        <v>-9.3651811700278254E-3</v>
      </c>
      <c r="S15" s="11">
        <f ca="1">INDIRECT(ADDRESS($N6+S$4,4))</f>
        <v>4.6282472517863216E-2</v>
      </c>
      <c r="T15" s="11">
        <f ca="1">INDIRECT(ADDRESS($N6+T$4,4))</f>
        <v>8.8896637441187254E-2</v>
      </c>
      <c r="U15" s="11">
        <f ca="1">INDIRECT(ADDRESS($N6+U$4,4))</f>
        <v>0.12911044686859441</v>
      </c>
      <c r="V15" s="11">
        <f ca="1">INDIRECT(ADDRESS($N6+V$4,4))</f>
        <v>2.2797148471057627E-2</v>
      </c>
      <c r="W15" s="11">
        <f ca="1">INDIRECT(ADDRESS($N6+W$4,4))</f>
        <v>0.16156932158072634</v>
      </c>
      <c r="X15" s="11">
        <f ca="1">INDIRECT(ADDRESS($N6+X$4,4))</f>
        <v>-2.2594759116125962E-2</v>
      </c>
      <c r="Y15" s="11">
        <f ca="1">INDIRECT(ADDRESS($N6+Y$4,4))</f>
        <v>2.5367215074636684E-2</v>
      </c>
      <c r="Z15" s="11">
        <f ca="1">INDIRECT(ADDRESS($N6+Z$4,4))</f>
        <v>2.7052951584600748E-2</v>
      </c>
    </row>
    <row r="16" spans="1:26" x14ac:dyDescent="0.3">
      <c r="B16" s="6">
        <v>2018</v>
      </c>
      <c r="C16" s="4">
        <v>0.11084322303385763</v>
      </c>
      <c r="D16" s="4">
        <v>2.7052951584600748E-2</v>
      </c>
      <c r="E16" s="4">
        <v>1.1359999279227484E-2</v>
      </c>
      <c r="F16" s="5">
        <v>26</v>
      </c>
      <c r="G16" s="5">
        <v>21</v>
      </c>
      <c r="H16" s="5">
        <v>12</v>
      </c>
      <c r="I16" s="4">
        <v>0.61538461538461542</v>
      </c>
      <c r="J16" s="4">
        <v>0.5714285714285714</v>
      </c>
      <c r="K16" s="4">
        <v>0.58333333333333337</v>
      </c>
      <c r="L16" s="6"/>
      <c r="M16" s="6"/>
      <c r="O16" s="12" t="s">
        <v>17</v>
      </c>
      <c r="P16" s="11">
        <f ca="1">INDIRECT(ADDRESS($N7+P$4,4))</f>
        <v>0.1026558508466433</v>
      </c>
      <c r="Q16" s="11">
        <f ca="1">INDIRECT(ADDRESS($N7+Q$4,4))</f>
        <v>1.6787508593447686E-2</v>
      </c>
      <c r="R16" s="11">
        <f ca="1">INDIRECT(ADDRESS($N7+R$4,4))</f>
        <v>-1.928594070936307E-2</v>
      </c>
      <c r="S16" s="11">
        <f ca="1">INDIRECT(ADDRESS($N7+S$4,4))</f>
        <v>3.5159194763420887E-2</v>
      </c>
      <c r="T16" s="11">
        <f ca="1">INDIRECT(ADDRESS($N7+T$4,4))</f>
        <v>7.1702061195236144E-2</v>
      </c>
      <c r="U16" s="11">
        <f ca="1">INDIRECT(ADDRESS($N7+U$4,4))</f>
        <v>9.7488866760383042E-2</v>
      </c>
      <c r="V16" s="11">
        <f ca="1">INDIRECT(ADDRESS($N7+V$4,4))</f>
        <v>4.8670674743882536E-2</v>
      </c>
      <c r="W16" s="11">
        <f ca="1">INDIRECT(ADDRESS($N7+W$4,4))</f>
        <v>0.15837462053544904</v>
      </c>
      <c r="X16" s="11">
        <f ca="1">INDIRECT(ADDRESS($N7+X$4,4))</f>
        <v>7.6154155450774308E-2</v>
      </c>
      <c r="Y16" s="11">
        <f ca="1">INDIRECT(ADDRESS($N7+Y$4,4))</f>
        <v>2.7203130170187162E-2</v>
      </c>
      <c r="Z16" s="11">
        <f ca="1">INDIRECT(ADDRESS($N7+Z$4,4))</f>
        <v>2.4951435703348457E-2</v>
      </c>
    </row>
    <row r="17" spans="2:26" x14ac:dyDescent="0.3">
      <c r="C17" s="1">
        <v>10</v>
      </c>
      <c r="D17" s="1">
        <v>20</v>
      </c>
      <c r="E17" s="1">
        <v>30</v>
      </c>
      <c r="F17" s="2">
        <v>10</v>
      </c>
      <c r="G17" s="2">
        <v>20</v>
      </c>
      <c r="H17" s="2">
        <v>30</v>
      </c>
      <c r="I17" s="2">
        <v>10</v>
      </c>
      <c r="J17" s="2">
        <v>20</v>
      </c>
      <c r="K17" s="2">
        <v>30</v>
      </c>
      <c r="L17" s="6"/>
      <c r="M17" s="6"/>
      <c r="N17" s="6"/>
      <c r="O17" s="12" t="s">
        <v>18</v>
      </c>
      <c r="P17" s="11">
        <f ca="1">INDIRECT(ADDRESS($N8+P$4,4))</f>
        <v>8.8690191872225155E-2</v>
      </c>
      <c r="Q17" s="11">
        <f ca="1">INDIRECT(ADDRESS($N8+Q$4,4))</f>
        <v>2.7298011162815161E-3</v>
      </c>
      <c r="R17" s="11">
        <f ca="1">INDIRECT(ADDRESS($N8+R$4,4))</f>
        <v>-3.6467227163778593E-2</v>
      </c>
      <c r="S17" s="11">
        <f ca="1">INDIRECT(ADDRESS($N8+S$4,4))</f>
        <v>3.1258958061274988E-2</v>
      </c>
      <c r="T17" s="11">
        <f ca="1">INDIRECT(ADDRESS($N8+T$4,4))</f>
        <v>3.8518960552233583E-2</v>
      </c>
      <c r="U17" s="11">
        <f ca="1">INDIRECT(ADDRESS($N8+U$4,4))</f>
        <v>0.14134678666452105</v>
      </c>
      <c r="V17" s="11">
        <f ca="1">INDIRECT(ADDRESS($N8+V$4,4))</f>
        <v>2.5695791723512329E-3</v>
      </c>
      <c r="W17" s="11">
        <f ca="1">INDIRECT(ADDRESS($N8+W$4,4))</f>
        <v>0.21030839969842541</v>
      </c>
      <c r="X17" s="11">
        <f ca="1">INDIRECT(ADDRESS($N8+X$4,4))</f>
        <v>3.4159712688719424E-4</v>
      </c>
      <c r="Y17" s="11">
        <f ca="1">INDIRECT(ADDRESS($N8+Y$4,4))</f>
        <v>-4.0051659683062013E-2</v>
      </c>
      <c r="Z17" s="11">
        <f ca="1">INDIRECT(ADDRESS($N8+Z$4,4))</f>
        <v>9.1462850096208914E-2</v>
      </c>
    </row>
    <row r="18" spans="2:26" x14ac:dyDescent="0.3">
      <c r="B18" t="s">
        <v>17</v>
      </c>
      <c r="C18" s="3" t="s">
        <v>14</v>
      </c>
      <c r="D18" s="3" t="s">
        <v>15</v>
      </c>
      <c r="E18" s="3" t="s">
        <v>16</v>
      </c>
      <c r="F18" s="3" t="s">
        <v>14</v>
      </c>
      <c r="G18" s="3" t="s">
        <v>15</v>
      </c>
      <c r="H18" s="3" t="s">
        <v>16</v>
      </c>
      <c r="I18" s="3" t="s">
        <v>14</v>
      </c>
      <c r="J18" s="3" t="s">
        <v>15</v>
      </c>
      <c r="K18" s="3" t="s">
        <v>16</v>
      </c>
      <c r="L18" s="6"/>
      <c r="M18" s="6"/>
      <c r="N18" s="6"/>
      <c r="O18" s="12" t="s">
        <v>19</v>
      </c>
      <c r="P18" s="11">
        <f ca="1">INDIRECT(ADDRESS($N9+P$4,4))</f>
        <v>0.10864248481948846</v>
      </c>
      <c r="Q18" s="11">
        <f ca="1">INDIRECT(ADDRESS($N9+Q$4,4))</f>
        <v>1.4298763535061099E-2</v>
      </c>
      <c r="R18" s="11">
        <f ca="1">INDIRECT(ADDRESS($N9+R$4,4))</f>
        <v>-4.8826888030320204E-2</v>
      </c>
      <c r="S18" s="11">
        <f ca="1">INDIRECT(ADDRESS($N9+S$4,4))</f>
        <v>4.5632628760362337E-2</v>
      </c>
      <c r="T18" s="11">
        <f ca="1">INDIRECT(ADDRESS($N9+T$4,4))</f>
        <v>6.2496430003508019E-2</v>
      </c>
      <c r="U18" s="11">
        <f ca="1">INDIRECT(ADDRESS($N9+U$4,4))</f>
        <v>0.14706348372159206</v>
      </c>
      <c r="V18" s="11">
        <f ca="1">INDIRECT(ADDRESS($N9+V$4,4))</f>
        <v>3.1997990512202534E-3</v>
      </c>
      <c r="W18" s="11">
        <f ca="1">INDIRECT(ADDRESS($N9+W$4,4))</f>
        <v>0.20620427493911597</v>
      </c>
      <c r="X18" s="11">
        <f ca="1">INDIRECT(ADDRESS($N9+X$4,4))</f>
        <v>-1.4003557138758782E-2</v>
      </c>
      <c r="Y18" s="11">
        <f ca="1">INDIRECT(ADDRESS($N9+Y$4,4))</f>
        <v>-3.6188541775350358E-2</v>
      </c>
      <c r="Z18" s="11">
        <f ca="1">INDIRECT(ADDRESS($N9+Z$4,4))</f>
        <v>8.0901304518578465E-2</v>
      </c>
    </row>
    <row r="19" spans="2:26" x14ac:dyDescent="0.3">
      <c r="B19" s="6">
        <v>2008</v>
      </c>
      <c r="C19" s="4">
        <v>0.12091900035572656</v>
      </c>
      <c r="D19" s="4">
        <v>0.1026558508466433</v>
      </c>
      <c r="E19" s="4">
        <v>9.2424112759307953E-2</v>
      </c>
      <c r="F19" s="5">
        <v>84</v>
      </c>
      <c r="G19" s="5">
        <v>80</v>
      </c>
      <c r="H19" s="5">
        <v>75</v>
      </c>
      <c r="I19" s="4">
        <v>0.7142857142857143</v>
      </c>
      <c r="J19" s="4">
        <v>0.6875</v>
      </c>
      <c r="K19" s="4">
        <v>0.69333333333333336</v>
      </c>
      <c r="N19" s="6"/>
      <c r="O19" s="12" t="s">
        <v>23</v>
      </c>
      <c r="P19" s="11">
        <f ca="1">INDIRECT(ADDRESS($N10+P$4,4))</f>
        <v>0.32012432274441083</v>
      </c>
      <c r="Q19" s="11">
        <f ca="1">INDIRECT(ADDRESS($N10+Q$4,4))</f>
        <v>6.5514638169625439E-2</v>
      </c>
      <c r="R19" s="11">
        <f ca="1">INDIRECT(ADDRESS($N10+R$4,4))</f>
        <v>6.01471379456191E-2</v>
      </c>
      <c r="S19" s="11">
        <f ca="1">INDIRECT(ADDRESS($N10+S$4,4))</f>
        <v>0.14640925806949245</v>
      </c>
      <c r="T19" s="11">
        <f ca="1">INDIRECT(ADDRESS($N10+T$4,4))</f>
        <v>0.24105179364251494</v>
      </c>
      <c r="U19" s="11">
        <f ca="1">INDIRECT(ADDRESS($N10+U$4,4))</f>
        <v>0.23593378182875946</v>
      </c>
      <c r="V19" s="11">
        <f ca="1">INDIRECT(ADDRESS($N10+V$4,4))</f>
        <v>0.12439396607978459</v>
      </c>
      <c r="W19" s="11">
        <f ca="1">INDIRECT(ADDRESS($N10+W$4,4))</f>
        <v>0.3132206164160618</v>
      </c>
      <c r="X19" s="11">
        <f ca="1">INDIRECT(ADDRESS($N10+X$4,4))</f>
        <v>0.13549918680633222</v>
      </c>
      <c r="Y19" s="11">
        <f ca="1">INDIRECT(ADDRESS($N10+Y$4,4))</f>
        <v>8.5510522798827093E-2</v>
      </c>
      <c r="Z19" s="11">
        <f ca="1">INDIRECT(ADDRESS($N10+Z$4,4))</f>
        <v>0.22394481418785395</v>
      </c>
    </row>
    <row r="20" spans="2:26" x14ac:dyDescent="0.3">
      <c r="B20" s="6">
        <v>2009</v>
      </c>
      <c r="C20" s="4">
        <v>4.5383886753565417E-2</v>
      </c>
      <c r="D20" s="4">
        <v>1.6787508593447686E-2</v>
      </c>
      <c r="E20" s="4">
        <v>-1.4358522187101319E-2</v>
      </c>
      <c r="F20" s="5">
        <v>71</v>
      </c>
      <c r="G20" s="5">
        <v>71</v>
      </c>
      <c r="H20" s="5">
        <v>68</v>
      </c>
      <c r="I20" s="4">
        <v>0.56338028169014087</v>
      </c>
      <c r="J20" s="4">
        <v>0.50704225352112675</v>
      </c>
      <c r="K20" s="4">
        <v>0.44117647058823528</v>
      </c>
      <c r="N20" s="6"/>
      <c r="O20" s="12" t="s">
        <v>24</v>
      </c>
      <c r="P20" s="11">
        <f ca="1">INDIRECT(ADDRESS($N11+P$4,4))</f>
        <v>0.12397826348074603</v>
      </c>
      <c r="Q20" s="11">
        <f ca="1">INDIRECT(ADDRESS($N11+Q$4,4))</f>
        <v>5.0834094421676745E-2</v>
      </c>
      <c r="R20" s="11">
        <f ca="1">INDIRECT(ADDRESS($N11+R$4,4))</f>
        <v>8.0885935897234695E-3</v>
      </c>
      <c r="S20" s="11">
        <f ca="1">INDIRECT(ADDRESS($N11+S$4,4))</f>
        <v>0.10799755762086227</v>
      </c>
      <c r="T20" s="11">
        <f ca="1">INDIRECT(ADDRESS($N11+T$4,4))</f>
        <v>8.1484731262843058E-2</v>
      </c>
      <c r="U20" s="11">
        <f ca="1">INDIRECT(ADDRESS($N11+U$4,4))</f>
        <v>0.10895952589093727</v>
      </c>
      <c r="V20" s="11">
        <f ca="1">INDIRECT(ADDRESS($N11+V$4,4))</f>
        <v>7.790030763965694E-2</v>
      </c>
      <c r="W20" s="11">
        <f ca="1">INDIRECT(ADDRESS($N11+W$4,4))</f>
        <v>0.16575366498714361</v>
      </c>
      <c r="X20" s="11">
        <f ca="1">INDIRECT(ADDRESS($N11+X$4,4))</f>
        <v>6.833995181806185E-2</v>
      </c>
      <c r="Y20" s="11">
        <f ca="1">INDIRECT(ADDRESS($N11+Y$4,4))</f>
        <v>1.5348906057440104E-2</v>
      </c>
      <c r="Z20" s="11">
        <f ca="1">INDIRECT(ADDRESS($N11+Z$4,4))</f>
        <v>9.0669918350242407E-2</v>
      </c>
    </row>
    <row r="21" spans="2:26" x14ac:dyDescent="0.3">
      <c r="B21" s="6">
        <v>2010</v>
      </c>
      <c r="C21" s="4">
        <v>-1.9636339854543605E-2</v>
      </c>
      <c r="D21" s="4">
        <v>-1.928594070936307E-2</v>
      </c>
      <c r="E21" s="4">
        <v>-3.102351001615633E-2</v>
      </c>
      <c r="F21" s="5">
        <v>68</v>
      </c>
      <c r="G21" s="5">
        <v>67</v>
      </c>
      <c r="H21" s="5">
        <v>66</v>
      </c>
      <c r="I21" s="4">
        <v>0.39705882352941174</v>
      </c>
      <c r="J21" s="4">
        <v>0.38805970149253732</v>
      </c>
      <c r="K21" s="4">
        <v>0.34848484848484851</v>
      </c>
      <c r="N21" s="6"/>
      <c r="O21" s="12" t="s">
        <v>25</v>
      </c>
      <c r="P21" s="11">
        <f ca="1">INDIRECT(ADDRESS($N12+P$4,4))</f>
        <v>0.17682786261360972</v>
      </c>
      <c r="Q21" s="11">
        <f ca="1">INDIRECT(ADDRESS($N12+Q$4,4))</f>
        <v>2.2843672347577559E-2</v>
      </c>
      <c r="R21" s="11">
        <f ca="1">INDIRECT(ADDRESS($N12+R$4,4))</f>
        <v>-2.922589898820982E-2</v>
      </c>
      <c r="S21" s="11">
        <f ca="1">INDIRECT(ADDRESS($N12+S$4,4))</f>
        <v>8.3209910250155339E-2</v>
      </c>
      <c r="T21" s="11">
        <f ca="1">INDIRECT(ADDRESS($N12+T$4,4))</f>
        <v>0.13337091021580227</v>
      </c>
      <c r="U21" s="11">
        <f ca="1">INDIRECT(ADDRESS($N12+U$4,4))</f>
        <v>0.17204487151337111</v>
      </c>
      <c r="V21" s="11">
        <f ca="1">INDIRECT(ADDRESS($N12+V$4,4))</f>
        <v>8.0276781522297114E-2</v>
      </c>
      <c r="W21" s="11">
        <f ca="1">INDIRECT(ADDRESS($N12+W$4,4))</f>
        <v>0.22965432936508812</v>
      </c>
      <c r="X21" s="11">
        <f ca="1">INDIRECT(ADDRESS($N12+X$4,4))</f>
        <v>9.6276699590005288E-2</v>
      </c>
      <c r="Y21" s="11">
        <f ca="1">INDIRECT(ADDRESS($N12+Y$4,4))</f>
        <v>5.8778275234062871E-2</v>
      </c>
      <c r="Z21" s="11">
        <f ca="1">INDIRECT(ADDRESS($N12+Z$4,4))</f>
        <v>0.1227188708638709</v>
      </c>
    </row>
    <row r="22" spans="2:26" x14ac:dyDescent="0.3">
      <c r="B22" s="6">
        <v>2011</v>
      </c>
      <c r="C22" s="4">
        <v>8.1046019172063444E-2</v>
      </c>
      <c r="D22" s="4">
        <v>3.5159194763420887E-2</v>
      </c>
      <c r="E22" s="4">
        <v>1.9048571873069298E-2</v>
      </c>
      <c r="F22" s="5">
        <v>76</v>
      </c>
      <c r="G22" s="5">
        <v>74</v>
      </c>
      <c r="H22" s="5">
        <v>75</v>
      </c>
      <c r="I22" s="4">
        <v>0.60526315789473684</v>
      </c>
      <c r="J22" s="4">
        <v>0.55405405405405406</v>
      </c>
      <c r="K22" s="4">
        <v>0.52</v>
      </c>
      <c r="O22" s="12" t="s">
        <v>26</v>
      </c>
      <c r="P22" s="11">
        <f ca="1">INDIRECT(ADDRESS($N13+P$4,4))</f>
        <v>0.10240316052560727</v>
      </c>
      <c r="Q22" s="11">
        <f ca="1">INDIRECT(ADDRESS($N13+Q$4,4))</f>
        <v>-9.7298572701686181E-3</v>
      </c>
      <c r="R22" s="11">
        <f ca="1">INDIRECT(ADDRESS($N13+R$4,4))</f>
        <v>-2.4371665252995833E-2</v>
      </c>
      <c r="S22" s="11">
        <f ca="1">INDIRECT(ADDRESS($N13+S$4,4))</f>
        <v>3.9719099478653153E-2</v>
      </c>
      <c r="T22" s="11">
        <f ca="1">INDIRECT(ADDRESS($N13+T$4,4))</f>
        <v>4.8126853500780831E-2</v>
      </c>
      <c r="U22" s="11">
        <f ca="1">INDIRECT(ADDRESS($N13+U$4,4))</f>
        <v>0.14043758048052823</v>
      </c>
      <c r="V22" s="11">
        <f ca="1">INDIRECT(ADDRESS($N13+V$4,4))</f>
        <v>7.5650273584528804E-3</v>
      </c>
      <c r="W22" s="11">
        <f ca="1">INDIRECT(ADDRESS($N13+W$4,4))</f>
        <v>0.21000370264975587</v>
      </c>
      <c r="X22" s="11">
        <f ca="1">INDIRECT(ADDRESS($N13+X$4,4))</f>
        <v>8.2783360591047739E-3</v>
      </c>
      <c r="Y22" s="11">
        <f ca="1">INDIRECT(ADDRESS($N13+Y$4,4))</f>
        <v>-2.8847985690128919E-2</v>
      </c>
      <c r="Z22" s="11">
        <f ca="1">INDIRECT(ADDRESS($N13+Z$4,4))</f>
        <v>9.5075005703760818E-2</v>
      </c>
    </row>
    <row r="23" spans="2:26" x14ac:dyDescent="0.3">
      <c r="B23" s="6">
        <v>2012</v>
      </c>
      <c r="C23" s="4">
        <v>0.10027794301338533</v>
      </c>
      <c r="D23" s="4">
        <v>7.1702061195236144E-2</v>
      </c>
      <c r="E23" s="4">
        <v>7.1843071182478013E-2</v>
      </c>
      <c r="F23" s="5">
        <v>75</v>
      </c>
      <c r="G23" s="5">
        <v>73</v>
      </c>
      <c r="H23" s="5">
        <v>65</v>
      </c>
      <c r="I23" s="4">
        <v>0.68</v>
      </c>
      <c r="J23" s="4">
        <v>0.61643835616438358</v>
      </c>
      <c r="K23" s="4">
        <v>0.63076923076923075</v>
      </c>
      <c r="O23" s="12" t="s">
        <v>16</v>
      </c>
      <c r="P23" s="10"/>
      <c r="R23" s="6"/>
      <c r="S23" s="6"/>
    </row>
    <row r="24" spans="2:26" x14ac:dyDescent="0.3">
      <c r="B24" s="6">
        <v>2013</v>
      </c>
      <c r="C24" s="4">
        <v>0.13088917133533307</v>
      </c>
      <c r="D24" s="4">
        <v>9.7488866760383042E-2</v>
      </c>
      <c r="E24" s="4">
        <v>0.10804686443217437</v>
      </c>
      <c r="F24" s="5">
        <v>85</v>
      </c>
      <c r="G24" s="5">
        <v>73</v>
      </c>
      <c r="H24" s="5">
        <v>68</v>
      </c>
      <c r="I24" s="4">
        <v>0.6470588235294118</v>
      </c>
      <c r="J24" s="4">
        <v>0.63013698630136983</v>
      </c>
      <c r="K24" s="4">
        <v>0.6029411764705882</v>
      </c>
      <c r="O24" s="12" t="s">
        <v>13</v>
      </c>
      <c r="P24" s="11">
        <f ca="1">INDIRECT(ADDRESS($N6+P$4,5))</f>
        <v>5.3990474914678233E-2</v>
      </c>
      <c r="Q24" s="11">
        <f ca="1">INDIRECT(ADDRESS($N6+Q$4,5))</f>
        <v>-1.6201674949934408E-2</v>
      </c>
      <c r="R24" s="11">
        <f ca="1">INDIRECT(ADDRESS($N6+R$4,5))</f>
        <v>-8.7626307604569131E-3</v>
      </c>
      <c r="S24" s="11">
        <f ca="1">INDIRECT(ADDRESS($N6+S$4,5))</f>
        <v>3.6168155425293502E-2</v>
      </c>
      <c r="T24" s="11">
        <f ca="1">INDIRECT(ADDRESS($N6+T$4,5))</f>
        <v>8.3227858115025644E-2</v>
      </c>
      <c r="U24" s="11">
        <f ca="1">INDIRECT(ADDRESS($N6+U$4,5))</f>
        <v>0.11933011026516205</v>
      </c>
      <c r="V24" s="11">
        <f ca="1">INDIRECT(ADDRESS($N6+V$4,5))</f>
        <v>2.8979146902849973E-3</v>
      </c>
      <c r="W24" s="11">
        <f ca="1">INDIRECT(ADDRESS($N6+W$4,5))</f>
        <v>0.12316753166451866</v>
      </c>
      <c r="X24" s="11">
        <f ca="1">INDIRECT(ADDRESS($N6+X$4,5))</f>
        <v>-6.8704461076498635E-3</v>
      </c>
      <c r="Y24" s="11">
        <f ca="1">INDIRECT(ADDRESS($N6+Y$4,5))</f>
        <v>7.4813431305313927E-3</v>
      </c>
      <c r="Z24" s="11">
        <f ca="1">INDIRECT(ADDRESS($N6+Z$4,5))</f>
        <v>1.1359999279227484E-2</v>
      </c>
    </row>
    <row r="25" spans="2:26" x14ac:dyDescent="0.3">
      <c r="B25" s="6">
        <v>2014</v>
      </c>
      <c r="C25" s="4">
        <v>5.1786556101013348E-2</v>
      </c>
      <c r="D25" s="4">
        <v>4.8670674743882536E-2</v>
      </c>
      <c r="E25" s="4">
        <v>6.4901475356397231E-2</v>
      </c>
      <c r="F25" s="5">
        <v>82</v>
      </c>
      <c r="G25" s="5">
        <v>74</v>
      </c>
      <c r="H25" s="5">
        <v>72</v>
      </c>
      <c r="I25" s="4">
        <v>0.58536585365853655</v>
      </c>
      <c r="J25" s="4">
        <v>0.58108108108108103</v>
      </c>
      <c r="K25" s="4">
        <v>0.625</v>
      </c>
      <c r="O25" s="12" t="s">
        <v>17</v>
      </c>
      <c r="P25" s="11">
        <f ca="1">INDIRECT(ADDRESS($N7+P$4,5))</f>
        <v>9.2424112759307953E-2</v>
      </c>
      <c r="Q25" s="11">
        <f ca="1">INDIRECT(ADDRESS($N7+Q$4,5))</f>
        <v>-1.4358522187101319E-2</v>
      </c>
      <c r="R25" s="11">
        <f ca="1">INDIRECT(ADDRESS($N7+R$4,5))</f>
        <v>-3.102351001615633E-2</v>
      </c>
      <c r="S25" s="11">
        <f ca="1">INDIRECT(ADDRESS($N7+S$4,5))</f>
        <v>1.9048571873069298E-2</v>
      </c>
      <c r="T25" s="11">
        <f ca="1">INDIRECT(ADDRESS($N7+T$4,5))</f>
        <v>7.1843071182478013E-2</v>
      </c>
      <c r="U25" s="11">
        <f ca="1">INDIRECT(ADDRESS($N7+U$4,5))</f>
        <v>0.10804686443217437</v>
      </c>
      <c r="V25" s="11">
        <f ca="1">INDIRECT(ADDRESS($N7+V$4,5))</f>
        <v>6.4901475356397231E-2</v>
      </c>
      <c r="W25" s="11">
        <f ca="1">INDIRECT(ADDRESS($N7+W$4,5))</f>
        <v>0.16343265076067093</v>
      </c>
      <c r="X25" s="11">
        <f ca="1">INDIRECT(ADDRESS($N7+X$4,5))</f>
        <v>7.7000313118794184E-2</v>
      </c>
      <c r="Y25" s="11">
        <f ca="1">INDIRECT(ADDRESS($N7+Y$4,5))</f>
        <v>3.4038032568205923E-2</v>
      </c>
      <c r="Z25" s="11">
        <f ca="1">INDIRECT(ADDRESS($N7+Z$4,5))</f>
        <v>8.9380486371939405E-3</v>
      </c>
    </row>
    <row r="26" spans="2:26" x14ac:dyDescent="0.3">
      <c r="B26" s="6">
        <v>2015</v>
      </c>
      <c r="C26" s="4">
        <v>0.17007354031977351</v>
      </c>
      <c r="D26" s="4">
        <v>0.15837462053544904</v>
      </c>
      <c r="E26" s="4">
        <v>0.16343265076067093</v>
      </c>
      <c r="F26" s="5">
        <v>79</v>
      </c>
      <c r="G26" s="5">
        <v>73</v>
      </c>
      <c r="H26" s="5">
        <v>76</v>
      </c>
      <c r="I26" s="4">
        <v>0.74683544303797467</v>
      </c>
      <c r="J26" s="4">
        <v>0.75342465753424659</v>
      </c>
      <c r="K26" s="4">
        <v>0.75</v>
      </c>
      <c r="O26" s="12" t="s">
        <v>18</v>
      </c>
      <c r="P26" s="11">
        <f ca="1">INDIRECT(ADDRESS($N8+P$4,5))</f>
        <v>9.9978688738602273E-2</v>
      </c>
      <c r="Q26" s="11">
        <f ca="1">INDIRECT(ADDRESS($N8+Q$4,5))</f>
        <v>-4.2131903847147489E-2</v>
      </c>
      <c r="R26" s="11">
        <f ca="1">INDIRECT(ADDRESS($N8+R$4,5))</f>
        <v>-2.7572433531604656E-2</v>
      </c>
      <c r="S26" s="11">
        <f ca="1">INDIRECT(ADDRESS($N8+S$4,5))</f>
        <v>5.0593555613889452E-2</v>
      </c>
      <c r="T26" s="11">
        <f ca="1">INDIRECT(ADDRESS($N8+T$4,5))</f>
        <v>6.6699499998910783E-2</v>
      </c>
      <c r="U26" s="11">
        <f ca="1">INDIRECT(ADDRESS($N8+U$4,5))</f>
        <v>0.14092461902901965</v>
      </c>
      <c r="V26" s="11">
        <f ca="1">INDIRECT(ADDRESS($N8+V$4,5))</f>
        <v>6.7468397447554285E-3</v>
      </c>
      <c r="W26" s="11">
        <f ca="1">INDIRECT(ADDRESS($N8+W$4,5))</f>
        <v>0.21464200996582083</v>
      </c>
      <c r="X26" s="11">
        <f ca="1">INDIRECT(ADDRESS($N8+X$4,5))</f>
        <v>1.3607171741311541E-2</v>
      </c>
      <c r="Y26" s="11">
        <f ca="1">INDIRECT(ADDRESS($N8+Y$4,5))</f>
        <v>-2.7324687488952004E-2</v>
      </c>
      <c r="Z26" s="11">
        <f ca="1">INDIRECT(ADDRESS($N8+Z$4,5))</f>
        <v>8.2540787695217332E-2</v>
      </c>
    </row>
    <row r="27" spans="2:26" x14ac:dyDescent="0.3">
      <c r="B27" s="6">
        <v>2016</v>
      </c>
      <c r="C27" s="4">
        <v>7.7814292619450942E-2</v>
      </c>
      <c r="D27" s="4">
        <v>7.6154155450774308E-2</v>
      </c>
      <c r="E27" s="4">
        <v>7.7000313118794184E-2</v>
      </c>
      <c r="F27" s="5">
        <v>85</v>
      </c>
      <c r="G27" s="5">
        <v>73</v>
      </c>
      <c r="H27" s="5">
        <v>70</v>
      </c>
      <c r="I27" s="4">
        <v>0.56470588235294117</v>
      </c>
      <c r="J27" s="4">
        <v>0.57534246575342463</v>
      </c>
      <c r="K27" s="4">
        <v>0.58571428571428574</v>
      </c>
      <c r="O27" s="12" t="s">
        <v>19</v>
      </c>
      <c r="P27" s="11">
        <f ca="1">INDIRECT(ADDRESS($N9+P$4,5))</f>
        <v>9.2861132484449715E-2</v>
      </c>
      <c r="Q27" s="11">
        <f ca="1">INDIRECT(ADDRESS($N9+Q$4,5))</f>
        <v>-2.4817009022759295E-2</v>
      </c>
      <c r="R27" s="11">
        <f ca="1">INDIRECT(ADDRESS($N9+R$4,5))</f>
        <v>-4.6312095669004183E-2</v>
      </c>
      <c r="S27" s="11">
        <f ca="1">INDIRECT(ADDRESS($N9+S$4,5))</f>
        <v>5.2803549707542308E-2</v>
      </c>
      <c r="T27" s="11">
        <f ca="1">INDIRECT(ADDRESS($N9+T$4,5))</f>
        <v>8.8812532597909444E-2</v>
      </c>
      <c r="U27" s="11">
        <f ca="1">INDIRECT(ADDRESS($N9+U$4,5))</f>
        <v>0.14465880558885202</v>
      </c>
      <c r="V27" s="11">
        <f ca="1">INDIRECT(ADDRESS($N9+V$4,5))</f>
        <v>6.199888112641494E-3</v>
      </c>
      <c r="W27" s="11">
        <f ca="1">INDIRECT(ADDRESS($N9+W$4,5))</f>
        <v>0.22947467556327572</v>
      </c>
      <c r="X27" s="11">
        <f ca="1">INDIRECT(ADDRESS($N9+X$4,5))</f>
        <v>-3.6577595769162752E-3</v>
      </c>
      <c r="Y27" s="11">
        <f ca="1">INDIRECT(ADDRESS($N9+Y$4,5))</f>
        <v>-1.782233519840748E-2</v>
      </c>
      <c r="Z27" s="11">
        <f ca="1">INDIRECT(ADDRESS($N9+Z$4,5))</f>
        <v>8.2540787695217332E-2</v>
      </c>
    </row>
    <row r="28" spans="2:26" x14ac:dyDescent="0.3">
      <c r="B28" s="6">
        <v>2017</v>
      </c>
      <c r="C28" s="4">
        <v>2.2180715542149176E-2</v>
      </c>
      <c r="D28" s="4">
        <v>2.7203130170187162E-2</v>
      </c>
      <c r="E28" s="4">
        <v>3.4038032568205923E-2</v>
      </c>
      <c r="F28" s="5">
        <v>69</v>
      </c>
      <c r="G28" s="5">
        <v>67</v>
      </c>
      <c r="H28" s="5">
        <v>64</v>
      </c>
      <c r="I28" s="4">
        <v>0.56521739130434778</v>
      </c>
      <c r="J28" s="4">
        <v>0.55223880597014929</v>
      </c>
      <c r="K28" s="4">
        <v>0.5625</v>
      </c>
      <c r="O28" s="12" t="s">
        <v>23</v>
      </c>
      <c r="P28" s="11">
        <f ca="1">INDIRECT(ADDRESS($N10+P$4,5))</f>
        <v>0.19961759400272139</v>
      </c>
      <c r="Q28" s="11">
        <f ca="1">INDIRECT(ADDRESS($N10+Q$4,5))</f>
        <v>2.479622265784287E-2</v>
      </c>
      <c r="R28" s="11">
        <f ca="1">INDIRECT(ADDRESS($N10+R$4,5))</f>
        <v>-1.2653215617387192E-2</v>
      </c>
      <c r="S28" s="11">
        <f ca="1">INDIRECT(ADDRESS($N10+S$4,5))</f>
        <v>6.0663073899055453E-2</v>
      </c>
      <c r="T28" s="11">
        <f ca="1">INDIRECT(ADDRESS($N10+T$4,5))</f>
        <v>0.10592220769295957</v>
      </c>
      <c r="U28" s="11">
        <f ca="1">INDIRECT(ADDRESS($N10+U$4,5))</f>
        <v>0.1602998157654838</v>
      </c>
      <c r="V28" s="11">
        <f ca="1">INDIRECT(ADDRESS($N10+V$4,5))</f>
        <v>3.1677072008672535E-2</v>
      </c>
      <c r="W28" s="11">
        <f ca="1">INDIRECT(ADDRESS($N10+W$4,5))</f>
        <v>0.22341417715497625</v>
      </c>
      <c r="X28" s="11">
        <f ca="1">INDIRECT(ADDRESS($N10+X$4,5))</f>
        <v>3.0502258933849724E-2</v>
      </c>
      <c r="Y28" s="11">
        <f ca="1">INDIRECT(ADDRESS($N10+Y$4,5))</f>
        <v>-7.858413224456573E-3</v>
      </c>
      <c r="Z28" s="11">
        <f ca="1">INDIRECT(ADDRESS($N10+Z$4,5))</f>
        <v>0.17365261279787614</v>
      </c>
    </row>
    <row r="29" spans="2:26" x14ac:dyDescent="0.3">
      <c r="B29" s="6">
        <v>2018</v>
      </c>
      <c r="C29" s="4">
        <v>4.0077160323899408E-2</v>
      </c>
      <c r="D29" s="4">
        <v>2.4951435703348457E-2</v>
      </c>
      <c r="E29" s="4">
        <v>8.9380486371939405E-3</v>
      </c>
      <c r="F29" s="5">
        <v>32</v>
      </c>
      <c r="G29" s="5">
        <v>22</v>
      </c>
      <c r="H29" s="5">
        <v>17</v>
      </c>
      <c r="I29" s="4">
        <v>0.5</v>
      </c>
      <c r="J29" s="4">
        <v>0.45454545454545453</v>
      </c>
      <c r="K29" s="4">
        <v>0.41176470588235292</v>
      </c>
      <c r="O29" s="12" t="s">
        <v>24</v>
      </c>
      <c r="P29" s="11">
        <f ca="1">INDIRECT(ADDRESS($N11+P$4,5))</f>
        <v>0.12467097942442185</v>
      </c>
      <c r="Q29" s="11">
        <f ca="1">INDIRECT(ADDRESS($N11+Q$4,5))</f>
        <v>2.2942800853910095E-2</v>
      </c>
      <c r="R29" s="11">
        <f ca="1">INDIRECT(ADDRESS($N11+R$4,5))</f>
        <v>-8.0229956810984326E-4</v>
      </c>
      <c r="S29" s="11">
        <f ca="1">INDIRECT(ADDRESS($N11+S$4,5))</f>
        <v>9.9375951643040805E-2</v>
      </c>
      <c r="T29" s="11">
        <f ca="1">INDIRECT(ADDRESS($N11+T$4,5))</f>
        <v>7.7112826708469973E-2</v>
      </c>
      <c r="U29" s="11">
        <f ca="1">INDIRECT(ADDRESS($N11+U$4,5))</f>
        <v>0.10374447360276706</v>
      </c>
      <c r="V29" s="11">
        <f ca="1">INDIRECT(ADDRESS($N11+V$4,5))</f>
        <v>6.0007040378202259E-2</v>
      </c>
      <c r="W29" s="11">
        <f ca="1">INDIRECT(ADDRESS($N11+W$4,5))</f>
        <v>0.14972241158995181</v>
      </c>
      <c r="X29" s="11">
        <f ca="1">INDIRECT(ADDRESS($N11+X$4,5))</f>
        <v>5.6235313283721666E-2</v>
      </c>
      <c r="Y29" s="11">
        <f ca="1">INDIRECT(ADDRESS($N11+Y$4,5))</f>
        <v>6.0305149454848994E-3</v>
      </c>
      <c r="Z29" s="11">
        <f ca="1">INDIRECT(ADDRESS($N11+Z$4,5))</f>
        <v>0.10528740432820771</v>
      </c>
    </row>
    <row r="30" spans="2:26" x14ac:dyDescent="0.3">
      <c r="C30" s="1">
        <v>14</v>
      </c>
      <c r="D30" s="1">
        <v>28</v>
      </c>
      <c r="E30" s="1">
        <v>42</v>
      </c>
      <c r="F30" s="2">
        <v>14</v>
      </c>
      <c r="G30" s="2">
        <v>28</v>
      </c>
      <c r="H30" s="2">
        <v>42</v>
      </c>
      <c r="I30" s="2">
        <v>14</v>
      </c>
      <c r="J30" s="2">
        <v>28</v>
      </c>
      <c r="K30" s="2">
        <v>42</v>
      </c>
      <c r="O30" s="12" t="s">
        <v>25</v>
      </c>
      <c r="P30" s="11">
        <f ca="1">INDIRECT(ADDRESS($N12+P$4,5))</f>
        <v>0.1629247127826392</v>
      </c>
      <c r="Q30" s="11">
        <f ca="1">INDIRECT(ADDRESS($N12+Q$4,5))</f>
        <v>4.6381643545574613E-2</v>
      </c>
      <c r="R30" s="11">
        <f ca="1">INDIRECT(ADDRESS($N12+R$4,5))</f>
        <v>-1.2960651698555981E-2</v>
      </c>
      <c r="S30" s="11">
        <f ca="1">INDIRECT(ADDRESS($N12+S$4,5))</f>
        <v>0.1116967822515309</v>
      </c>
      <c r="T30" s="11">
        <f ca="1">INDIRECT(ADDRESS($N12+T$4,5))</f>
        <v>0.17351733130065727</v>
      </c>
      <c r="U30" s="11">
        <f ca="1">INDIRECT(ADDRESS($N12+U$4,5))</f>
        <v>0.19187769338875826</v>
      </c>
      <c r="V30" s="11">
        <f ca="1">INDIRECT(ADDRESS($N12+V$4,5))</f>
        <v>7.9112342081736342E-2</v>
      </c>
      <c r="W30" s="11">
        <f ca="1">INDIRECT(ADDRESS($N12+W$4,5))</f>
        <v>0.2417971726831587</v>
      </c>
      <c r="X30" s="11">
        <f ca="1">INDIRECT(ADDRESS($N12+X$4,5))</f>
        <v>0.11031898383489813</v>
      </c>
      <c r="Y30" s="11">
        <f ca="1">INDIRECT(ADDRESS($N12+Y$4,5))</f>
        <v>6.7680686524566713E-2</v>
      </c>
      <c r="Z30" s="11">
        <f ca="1">INDIRECT(ADDRESS($N12+Z$4,5))</f>
        <v>0.18028528174568281</v>
      </c>
    </row>
    <row r="31" spans="2:26" x14ac:dyDescent="0.3">
      <c r="B31" t="s">
        <v>18</v>
      </c>
      <c r="C31" s="3" t="s">
        <v>14</v>
      </c>
      <c r="D31" s="3" t="s">
        <v>15</v>
      </c>
      <c r="E31" s="3" t="s">
        <v>16</v>
      </c>
      <c r="F31" s="3" t="s">
        <v>14</v>
      </c>
      <c r="G31" s="3" t="s">
        <v>15</v>
      </c>
      <c r="H31" s="3" t="s">
        <v>16</v>
      </c>
      <c r="I31" s="3" t="s">
        <v>14</v>
      </c>
      <c r="J31" s="3" t="s">
        <v>15</v>
      </c>
      <c r="K31" s="3" t="s">
        <v>16</v>
      </c>
      <c r="O31" s="12" t="s">
        <v>26</v>
      </c>
      <c r="P31" s="11">
        <f ca="1">INDIRECT(ADDRESS($N13+P$4,5))</f>
        <v>9.2986546133737358E-2</v>
      </c>
      <c r="Q31" s="11">
        <f ca="1">INDIRECT(ADDRESS($N13+Q$4,5))</f>
        <v>-1.8696435632888142E-2</v>
      </c>
      <c r="R31" s="11">
        <f ca="1">INDIRECT(ADDRESS($N13+R$4,5))</f>
        <v>-3.5540227127324964E-2</v>
      </c>
      <c r="S31" s="11">
        <f ca="1">INDIRECT(ADDRESS($N13+S$4,5))</f>
        <v>4.4042907311246715E-2</v>
      </c>
      <c r="T31" s="11">
        <f ca="1">INDIRECT(ADDRESS($N13+T$4,5))</f>
        <v>6.9195220229727239E-2</v>
      </c>
      <c r="U31" s="11">
        <f ca="1">INDIRECT(ADDRESS($N13+U$4,5))</f>
        <v>0.14989690165934633</v>
      </c>
      <c r="V31" s="11">
        <f ca="1">INDIRECT(ADDRESS($N13+V$4,5))</f>
        <v>2.0647315077663597E-2</v>
      </c>
      <c r="W31" s="11">
        <f ca="1">INDIRECT(ADDRESS($N13+W$4,5))</f>
        <v>0.21443763420307249</v>
      </c>
      <c r="X31" s="11">
        <f ca="1">INDIRECT(ADDRESS($N13+X$4,5))</f>
        <v>1.7386553087716416E-2</v>
      </c>
      <c r="Y31" s="11">
        <f ca="1">INDIRECT(ADDRESS($N13+Y$4,5))</f>
        <v>-2.7767922585593241E-2</v>
      </c>
      <c r="Z31" s="11">
        <f ca="1">INDIRECT(ADDRESS($N13+Z$4,5))</f>
        <v>0.12366188729129557</v>
      </c>
    </row>
    <row r="32" spans="2:26" x14ac:dyDescent="0.3">
      <c r="B32" s="6">
        <v>2008</v>
      </c>
      <c r="C32" s="4">
        <v>0.14035540565816751</v>
      </c>
      <c r="D32" s="4">
        <v>8.8690191872225155E-2</v>
      </c>
      <c r="E32" s="4">
        <v>9.9978688738602273E-2</v>
      </c>
      <c r="F32" s="5">
        <v>148</v>
      </c>
      <c r="G32" s="5">
        <v>152</v>
      </c>
      <c r="H32" s="5">
        <v>149</v>
      </c>
      <c r="I32" s="4">
        <v>0.63513513513513509</v>
      </c>
      <c r="J32" s="4">
        <v>0.60526315789473684</v>
      </c>
      <c r="K32" s="4">
        <v>0.62416107382550334</v>
      </c>
    </row>
    <row r="33" spans="2:26" ht="18" x14ac:dyDescent="0.35">
      <c r="B33" s="6">
        <v>2009</v>
      </c>
      <c r="C33" s="4">
        <v>-1.4300100379496583E-2</v>
      </c>
      <c r="D33" s="4">
        <v>2.7298011162815161E-3</v>
      </c>
      <c r="E33" s="4">
        <v>-4.2131903847147489E-2</v>
      </c>
      <c r="F33" s="5">
        <v>81</v>
      </c>
      <c r="G33" s="5">
        <v>51</v>
      </c>
      <c r="H33" s="5">
        <v>32</v>
      </c>
      <c r="I33" s="4">
        <v>0.43209876543209874</v>
      </c>
      <c r="J33" s="4">
        <v>0.50980392156862742</v>
      </c>
      <c r="K33" s="4">
        <v>0.34375</v>
      </c>
      <c r="P33" s="13" t="s">
        <v>2</v>
      </c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2:26" x14ac:dyDescent="0.3">
      <c r="B34" s="6">
        <v>2010</v>
      </c>
      <c r="C34" s="4">
        <v>-5.4714369291716136E-2</v>
      </c>
      <c r="D34" s="4">
        <v>-3.6467227163778593E-2</v>
      </c>
      <c r="E34" s="4">
        <v>-2.7572433531604656E-2</v>
      </c>
      <c r="F34" s="5">
        <v>81</v>
      </c>
      <c r="G34" s="5">
        <v>67</v>
      </c>
      <c r="H34" s="5">
        <v>35</v>
      </c>
      <c r="I34" s="4">
        <v>0.37037037037037035</v>
      </c>
      <c r="J34" s="4">
        <v>0.35820895522388058</v>
      </c>
      <c r="K34" s="4">
        <v>0.2857142857142857</v>
      </c>
      <c r="O34" s="12" t="s">
        <v>14</v>
      </c>
      <c r="P34" s="12">
        <f ca="1">INDIRECT(ADDRESS($N6+P$4,2))</f>
        <v>2008</v>
      </c>
      <c r="Q34" s="12">
        <f t="shared" ref="Q34:Z34" ca="1" si="0">INDIRECT(ADDRESS($N6+Q$4,2))</f>
        <v>2009</v>
      </c>
      <c r="R34" s="12">
        <f t="shared" ca="1" si="0"/>
        <v>2010</v>
      </c>
      <c r="S34" s="12">
        <f t="shared" ca="1" si="0"/>
        <v>2011</v>
      </c>
      <c r="T34" s="12">
        <f t="shared" ca="1" si="0"/>
        <v>2012</v>
      </c>
      <c r="U34" s="12">
        <f t="shared" ca="1" si="0"/>
        <v>2013</v>
      </c>
      <c r="V34" s="12">
        <f t="shared" ca="1" si="0"/>
        <v>2014</v>
      </c>
      <c r="W34" s="12">
        <f t="shared" ca="1" si="0"/>
        <v>2015</v>
      </c>
      <c r="X34" s="12">
        <f t="shared" ca="1" si="0"/>
        <v>2016</v>
      </c>
      <c r="Y34" s="12">
        <f t="shared" ca="1" si="0"/>
        <v>2017</v>
      </c>
      <c r="Z34" s="12">
        <f t="shared" ca="1" si="0"/>
        <v>2018</v>
      </c>
    </row>
    <row r="35" spans="2:26" x14ac:dyDescent="0.3">
      <c r="B35" s="6">
        <v>2011</v>
      </c>
      <c r="C35" s="4">
        <v>4.7641020469964213E-2</v>
      </c>
      <c r="D35" s="4">
        <v>3.1258958061274988E-2</v>
      </c>
      <c r="E35" s="4">
        <v>5.0593555613889452E-2</v>
      </c>
      <c r="F35" s="5">
        <v>126</v>
      </c>
      <c r="G35" s="5">
        <v>123</v>
      </c>
      <c r="H35" s="5">
        <v>119</v>
      </c>
      <c r="I35" s="4">
        <v>0.51587301587301593</v>
      </c>
      <c r="J35" s="4">
        <v>0.54471544715447151</v>
      </c>
      <c r="K35" s="4">
        <v>0.55462184873949583</v>
      </c>
      <c r="O35" s="12" t="s">
        <v>13</v>
      </c>
      <c r="P35" s="14">
        <f ca="1">INDIRECT(ADDRESS($N6+P$4,6))</f>
        <v>94</v>
      </c>
      <c r="Q35" s="14">
        <f t="shared" ref="Q35:Z35" ca="1" si="1">INDIRECT(ADDRESS($N6+Q$4,6))</f>
        <v>22</v>
      </c>
      <c r="R35" s="14">
        <f t="shared" ca="1" si="1"/>
        <v>31</v>
      </c>
      <c r="S35" s="14">
        <f t="shared" ca="1" si="1"/>
        <v>95</v>
      </c>
      <c r="T35" s="14">
        <f t="shared" ca="1" si="1"/>
        <v>112</v>
      </c>
      <c r="U35" s="14">
        <f t="shared" ca="1" si="1"/>
        <v>145</v>
      </c>
      <c r="V35" s="14">
        <f t="shared" ca="1" si="1"/>
        <v>54</v>
      </c>
      <c r="W35" s="14">
        <f t="shared" ca="1" si="1"/>
        <v>99</v>
      </c>
      <c r="X35" s="14">
        <f t="shared" ca="1" si="1"/>
        <v>61</v>
      </c>
      <c r="Y35" s="14">
        <f t="shared" ca="1" si="1"/>
        <v>35</v>
      </c>
      <c r="Z35" s="14">
        <f t="shared" ca="1" si="1"/>
        <v>26</v>
      </c>
    </row>
    <row r="36" spans="2:26" x14ac:dyDescent="0.3">
      <c r="B36" s="6">
        <v>2012</v>
      </c>
      <c r="C36" s="4">
        <v>2.4529981609646478E-2</v>
      </c>
      <c r="D36" s="4">
        <v>3.8518960552233583E-2</v>
      </c>
      <c r="E36" s="4">
        <v>6.6699499998910783E-2</v>
      </c>
      <c r="F36" s="5">
        <v>96</v>
      </c>
      <c r="G36" s="5">
        <v>83</v>
      </c>
      <c r="H36" s="5">
        <v>71</v>
      </c>
      <c r="I36" s="4">
        <v>0.53125</v>
      </c>
      <c r="J36" s="4">
        <v>0.51807228915662651</v>
      </c>
      <c r="K36" s="4">
        <v>0.57746478873239437</v>
      </c>
      <c r="O36" s="12" t="s">
        <v>17</v>
      </c>
      <c r="P36" s="14">
        <f t="shared" ref="P36:Z36" ca="1" si="2">INDIRECT(ADDRESS($N7+P$4,6))</f>
        <v>84</v>
      </c>
      <c r="Q36" s="14">
        <f t="shared" ca="1" si="2"/>
        <v>71</v>
      </c>
      <c r="R36" s="14">
        <f t="shared" ca="1" si="2"/>
        <v>68</v>
      </c>
      <c r="S36" s="14">
        <f t="shared" ca="1" si="2"/>
        <v>76</v>
      </c>
      <c r="T36" s="14">
        <f t="shared" ca="1" si="2"/>
        <v>75</v>
      </c>
      <c r="U36" s="14">
        <f t="shared" ca="1" si="2"/>
        <v>85</v>
      </c>
      <c r="V36" s="14">
        <f t="shared" ca="1" si="2"/>
        <v>82</v>
      </c>
      <c r="W36" s="14">
        <f t="shared" ca="1" si="2"/>
        <v>79</v>
      </c>
      <c r="X36" s="14">
        <f t="shared" ca="1" si="2"/>
        <v>85</v>
      </c>
      <c r="Y36" s="14">
        <f t="shared" ca="1" si="2"/>
        <v>69</v>
      </c>
      <c r="Z36" s="14">
        <f t="shared" ca="1" si="2"/>
        <v>32</v>
      </c>
    </row>
    <row r="37" spans="2:26" x14ac:dyDescent="0.3">
      <c r="B37" s="6">
        <v>2013</v>
      </c>
      <c r="C37" s="4">
        <v>0.14248268214860538</v>
      </c>
      <c r="D37" s="4">
        <v>0.14134678666452105</v>
      </c>
      <c r="E37" s="4">
        <v>0.14092461902901965</v>
      </c>
      <c r="F37" s="5">
        <v>135</v>
      </c>
      <c r="G37" s="5">
        <v>136</v>
      </c>
      <c r="H37" s="5">
        <v>137</v>
      </c>
      <c r="I37" s="4">
        <v>0.6</v>
      </c>
      <c r="J37" s="4">
        <v>0.6029411764705882</v>
      </c>
      <c r="K37" s="4">
        <v>0.6058394160583942</v>
      </c>
      <c r="O37" s="12" t="s">
        <v>18</v>
      </c>
      <c r="P37" s="14">
        <f t="shared" ref="P37:Z37" ca="1" si="3">INDIRECT(ADDRESS($N8+P$4,6))</f>
        <v>148</v>
      </c>
      <c r="Q37" s="14">
        <f t="shared" ca="1" si="3"/>
        <v>81</v>
      </c>
      <c r="R37" s="14">
        <f t="shared" ca="1" si="3"/>
        <v>81</v>
      </c>
      <c r="S37" s="14">
        <f t="shared" ca="1" si="3"/>
        <v>126</v>
      </c>
      <c r="T37" s="14">
        <f t="shared" ca="1" si="3"/>
        <v>96</v>
      </c>
      <c r="U37" s="14">
        <f t="shared" ca="1" si="3"/>
        <v>135</v>
      </c>
      <c r="V37" s="14">
        <f t="shared" ca="1" si="3"/>
        <v>121</v>
      </c>
      <c r="W37" s="14">
        <f t="shared" ca="1" si="3"/>
        <v>157</v>
      </c>
      <c r="X37" s="14">
        <f t="shared" ca="1" si="3"/>
        <v>111</v>
      </c>
      <c r="Y37" s="14">
        <f t="shared" ca="1" si="3"/>
        <v>51</v>
      </c>
      <c r="Z37" s="14">
        <f t="shared" ca="1" si="3"/>
        <v>35</v>
      </c>
    </row>
    <row r="38" spans="2:26" x14ac:dyDescent="0.3">
      <c r="B38" s="6">
        <v>2014</v>
      </c>
      <c r="C38" s="4">
        <v>1.7042729977287951E-3</v>
      </c>
      <c r="D38" s="4">
        <v>2.5695791723512329E-3</v>
      </c>
      <c r="E38" s="4">
        <v>6.7468397447554285E-3</v>
      </c>
      <c r="F38" s="5">
        <v>121</v>
      </c>
      <c r="G38" s="5">
        <v>113</v>
      </c>
      <c r="H38" s="5">
        <v>103</v>
      </c>
      <c r="I38" s="4">
        <v>0.50413223140495866</v>
      </c>
      <c r="J38" s="4">
        <v>0.53097345132743368</v>
      </c>
      <c r="K38" s="4">
        <v>0.5436893203883495</v>
      </c>
      <c r="O38" s="12" t="s">
        <v>19</v>
      </c>
      <c r="P38" s="14">
        <f t="shared" ref="P38:Z38" ca="1" si="4">INDIRECT(ADDRESS($N9+P$4,6))</f>
        <v>179</v>
      </c>
      <c r="Q38" s="14">
        <f t="shared" ca="1" si="4"/>
        <v>48</v>
      </c>
      <c r="R38" s="14">
        <f t="shared" ca="1" si="4"/>
        <v>86</v>
      </c>
      <c r="S38" s="14">
        <f t="shared" ca="1" si="4"/>
        <v>127</v>
      </c>
      <c r="T38" s="14">
        <f t="shared" ca="1" si="4"/>
        <v>73</v>
      </c>
      <c r="U38" s="14">
        <f t="shared" ca="1" si="4"/>
        <v>146</v>
      </c>
      <c r="V38" s="14">
        <f t="shared" ca="1" si="4"/>
        <v>117</v>
      </c>
      <c r="W38" s="14">
        <f t="shared" ca="1" si="4"/>
        <v>172</v>
      </c>
      <c r="X38" s="14">
        <f t="shared" ca="1" si="4"/>
        <v>109</v>
      </c>
      <c r="Y38" s="14">
        <f t="shared" ca="1" si="4"/>
        <v>60</v>
      </c>
      <c r="Z38" s="14">
        <f t="shared" ca="1" si="4"/>
        <v>39</v>
      </c>
    </row>
    <row r="39" spans="2:26" x14ac:dyDescent="0.3">
      <c r="B39" s="6">
        <v>2015</v>
      </c>
      <c r="C39" s="4">
        <v>0.17340851381293398</v>
      </c>
      <c r="D39" s="4">
        <v>0.21030839969842541</v>
      </c>
      <c r="E39" s="4">
        <v>0.21464200996582083</v>
      </c>
      <c r="F39" s="5">
        <v>157</v>
      </c>
      <c r="G39" s="5">
        <v>160</v>
      </c>
      <c r="H39" s="5">
        <v>164</v>
      </c>
      <c r="I39" s="4">
        <v>0.64331210191082799</v>
      </c>
      <c r="J39" s="4">
        <v>0.66874999999999996</v>
      </c>
      <c r="K39" s="4">
        <v>0.67073170731707321</v>
      </c>
      <c r="O39" s="12" t="s">
        <v>23</v>
      </c>
      <c r="P39" s="14">
        <f t="shared" ref="P39:Z39" ca="1" si="5">INDIRECT(ADDRESS($N10+P$4,6))</f>
        <v>129</v>
      </c>
      <c r="Q39" s="14">
        <f t="shared" ca="1" si="5"/>
        <v>129</v>
      </c>
      <c r="R39" s="14">
        <f t="shared" ca="1" si="5"/>
        <v>111</v>
      </c>
      <c r="S39" s="14">
        <f t="shared" ca="1" si="5"/>
        <v>124</v>
      </c>
      <c r="T39" s="14">
        <f t="shared" ca="1" si="5"/>
        <v>123</v>
      </c>
      <c r="U39" s="14">
        <f t="shared" ca="1" si="5"/>
        <v>128</v>
      </c>
      <c r="V39" s="14">
        <f t="shared" ca="1" si="5"/>
        <v>107</v>
      </c>
      <c r="W39" s="14">
        <f t="shared" ca="1" si="5"/>
        <v>109</v>
      </c>
      <c r="X39" s="14">
        <f t="shared" ca="1" si="5"/>
        <v>111</v>
      </c>
      <c r="Y39" s="14">
        <f t="shared" ca="1" si="5"/>
        <v>116</v>
      </c>
      <c r="Z39" s="14">
        <f t="shared" ca="1" si="5"/>
        <v>50</v>
      </c>
    </row>
    <row r="40" spans="2:26" x14ac:dyDescent="0.3">
      <c r="B40" s="6">
        <v>2016</v>
      </c>
      <c r="C40" s="4">
        <v>-3.6135096360735752E-2</v>
      </c>
      <c r="D40" s="4">
        <v>3.4159712688719424E-4</v>
      </c>
      <c r="E40" s="4">
        <v>1.3607171741311541E-2</v>
      </c>
      <c r="F40" s="5">
        <v>111</v>
      </c>
      <c r="G40" s="5">
        <v>92</v>
      </c>
      <c r="H40" s="5">
        <v>83</v>
      </c>
      <c r="I40" s="4">
        <v>0.3783783783783784</v>
      </c>
      <c r="J40" s="4">
        <v>0.43478260869565216</v>
      </c>
      <c r="K40" s="4">
        <v>0.45783132530120479</v>
      </c>
      <c r="O40" s="12" t="s">
        <v>24</v>
      </c>
      <c r="P40" s="14">
        <f t="shared" ref="P40:Z40" ca="1" si="6">INDIRECT(ADDRESS($N11+P$4,6))</f>
        <v>65</v>
      </c>
      <c r="Q40" s="14">
        <f t="shared" ca="1" si="6"/>
        <v>37</v>
      </c>
      <c r="R40" s="14">
        <f t="shared" ca="1" si="6"/>
        <v>41</v>
      </c>
      <c r="S40" s="14">
        <f t="shared" ca="1" si="6"/>
        <v>58</v>
      </c>
      <c r="T40" s="14">
        <f t="shared" ca="1" si="6"/>
        <v>53</v>
      </c>
      <c r="U40" s="14">
        <f t="shared" ca="1" si="6"/>
        <v>60</v>
      </c>
      <c r="V40" s="14">
        <f t="shared" ca="1" si="6"/>
        <v>62</v>
      </c>
      <c r="W40" s="14">
        <f t="shared" ca="1" si="6"/>
        <v>71</v>
      </c>
      <c r="X40" s="14">
        <f t="shared" ca="1" si="6"/>
        <v>54</v>
      </c>
      <c r="Y40" s="14">
        <f t="shared" ca="1" si="6"/>
        <v>30</v>
      </c>
      <c r="Z40" s="14">
        <f t="shared" ca="1" si="6"/>
        <v>17</v>
      </c>
    </row>
    <row r="41" spans="2:26" x14ac:dyDescent="0.3">
      <c r="B41" s="6">
        <v>2017</v>
      </c>
      <c r="C41" s="4">
        <v>-1.9600370399621703E-2</v>
      </c>
      <c r="D41" s="4">
        <v>-4.0051659683062013E-2</v>
      </c>
      <c r="E41" s="4">
        <v>-2.7324687488952004E-2</v>
      </c>
      <c r="F41" s="5">
        <v>51</v>
      </c>
      <c r="G41" s="5">
        <v>31</v>
      </c>
      <c r="H41" s="5">
        <v>19</v>
      </c>
      <c r="I41" s="4">
        <v>0.37254901960784315</v>
      </c>
      <c r="J41" s="4">
        <v>0.29032258064516131</v>
      </c>
      <c r="K41" s="4">
        <v>0.26315789473684209</v>
      </c>
      <c r="O41" s="12" t="s">
        <v>25</v>
      </c>
      <c r="P41" s="14">
        <f t="shared" ref="P41:Z41" ca="1" si="7">INDIRECT(ADDRESS($N12+P$4,6))</f>
        <v>142</v>
      </c>
      <c r="Q41" s="14">
        <f t="shared" ca="1" si="7"/>
        <v>101</v>
      </c>
      <c r="R41" s="14">
        <f t="shared" ca="1" si="7"/>
        <v>87</v>
      </c>
      <c r="S41" s="14">
        <f t="shared" ca="1" si="7"/>
        <v>136</v>
      </c>
      <c r="T41" s="14">
        <f t="shared" ca="1" si="7"/>
        <v>121</v>
      </c>
      <c r="U41" s="14">
        <f t="shared" ca="1" si="7"/>
        <v>149</v>
      </c>
      <c r="V41" s="14">
        <f t="shared" ca="1" si="7"/>
        <v>100</v>
      </c>
      <c r="W41" s="14">
        <f t="shared" ca="1" si="7"/>
        <v>141</v>
      </c>
      <c r="X41" s="14">
        <f t="shared" ca="1" si="7"/>
        <v>125</v>
      </c>
      <c r="Y41" s="14">
        <f t="shared" ca="1" si="7"/>
        <v>82</v>
      </c>
      <c r="Z41" s="14">
        <f t="shared" ca="1" si="7"/>
        <v>41</v>
      </c>
    </row>
    <row r="42" spans="2:26" x14ac:dyDescent="0.3">
      <c r="B42" s="6">
        <v>2018</v>
      </c>
      <c r="C42" s="4">
        <v>-1.7131195131677046E-2</v>
      </c>
      <c r="D42" s="4">
        <v>9.1462850096208914E-2</v>
      </c>
      <c r="E42" s="4">
        <v>8.2540787695217332E-2</v>
      </c>
      <c r="F42" s="5">
        <v>35</v>
      </c>
      <c r="G42" s="5">
        <v>28</v>
      </c>
      <c r="H42" s="5">
        <v>26</v>
      </c>
      <c r="I42" s="4">
        <v>0.45714285714285713</v>
      </c>
      <c r="J42" s="4">
        <v>0.5714285714285714</v>
      </c>
      <c r="K42" s="4">
        <v>0.57692307692307687</v>
      </c>
      <c r="O42" s="12" t="s">
        <v>26</v>
      </c>
      <c r="P42" s="14">
        <f t="shared" ref="P42:Z42" ca="1" si="8">INDIRECT(ADDRESS($N13+P$4,6))</f>
        <v>148</v>
      </c>
      <c r="Q42" s="14">
        <f t="shared" ca="1" si="8"/>
        <v>93</v>
      </c>
      <c r="R42" s="14">
        <f t="shared" ca="1" si="8"/>
        <v>89</v>
      </c>
      <c r="S42" s="14">
        <f t="shared" ca="1" si="8"/>
        <v>130</v>
      </c>
      <c r="T42" s="14">
        <f t="shared" ca="1" si="8"/>
        <v>105</v>
      </c>
      <c r="U42" s="14">
        <f t="shared" ca="1" si="8"/>
        <v>138</v>
      </c>
      <c r="V42" s="14">
        <f t="shared" ca="1" si="8"/>
        <v>127</v>
      </c>
      <c r="W42" s="14">
        <f t="shared" ca="1" si="8"/>
        <v>155</v>
      </c>
      <c r="X42" s="14">
        <f t="shared" ca="1" si="8"/>
        <v>112</v>
      </c>
      <c r="Y42" s="14">
        <f t="shared" ca="1" si="8"/>
        <v>65</v>
      </c>
      <c r="Z42" s="14">
        <f t="shared" ca="1" si="8"/>
        <v>43</v>
      </c>
    </row>
    <row r="43" spans="2:26" x14ac:dyDescent="0.3">
      <c r="C43" s="1">
        <v>14</v>
      </c>
      <c r="D43" s="1">
        <v>28</v>
      </c>
      <c r="E43" s="1">
        <v>42</v>
      </c>
      <c r="F43" s="2">
        <v>14</v>
      </c>
      <c r="G43" s="2">
        <v>28</v>
      </c>
      <c r="H43" s="2">
        <v>42</v>
      </c>
      <c r="I43" s="2">
        <v>14</v>
      </c>
      <c r="J43" s="2">
        <v>28</v>
      </c>
      <c r="K43" s="2">
        <v>42</v>
      </c>
      <c r="O43" s="12" t="s">
        <v>15</v>
      </c>
      <c r="P43" s="10"/>
      <c r="R43" s="6"/>
      <c r="S43" s="6"/>
    </row>
    <row r="44" spans="2:26" x14ac:dyDescent="0.3">
      <c r="B44" t="s">
        <v>19</v>
      </c>
      <c r="C44" s="3" t="s">
        <v>14</v>
      </c>
      <c r="D44" s="3" t="s">
        <v>15</v>
      </c>
      <c r="E44" s="3" t="s">
        <v>16</v>
      </c>
      <c r="F44" s="3" t="s">
        <v>14</v>
      </c>
      <c r="G44" s="3" t="s">
        <v>15</v>
      </c>
      <c r="H44" s="3" t="s">
        <v>16</v>
      </c>
      <c r="I44" s="3" t="s">
        <v>14</v>
      </c>
      <c r="J44" s="3" t="s">
        <v>15</v>
      </c>
      <c r="K44" s="3" t="s">
        <v>16</v>
      </c>
      <c r="O44" s="12" t="s">
        <v>13</v>
      </c>
      <c r="P44" s="14">
        <f ca="1">INDIRECT(ADDRESS($N6+P$4,7))</f>
        <v>81</v>
      </c>
      <c r="Q44" s="14">
        <f t="shared" ref="Q44:Z44" ca="1" si="9">INDIRECT(ADDRESS($N6+Q$4,7))</f>
        <v>18</v>
      </c>
      <c r="R44" s="14">
        <f t="shared" ca="1" si="9"/>
        <v>16</v>
      </c>
      <c r="S44" s="14">
        <f t="shared" ca="1" si="9"/>
        <v>74</v>
      </c>
      <c r="T44" s="14">
        <f t="shared" ca="1" si="9"/>
        <v>114</v>
      </c>
      <c r="U44" s="14">
        <f t="shared" ca="1" si="9"/>
        <v>131</v>
      </c>
      <c r="V44" s="14">
        <f t="shared" ca="1" si="9"/>
        <v>38</v>
      </c>
      <c r="W44" s="14">
        <f t="shared" ca="1" si="9"/>
        <v>93</v>
      </c>
      <c r="X44" s="14">
        <f t="shared" ca="1" si="9"/>
        <v>28</v>
      </c>
      <c r="Y44" s="14">
        <f t="shared" ca="1" si="9"/>
        <v>30</v>
      </c>
      <c r="Z44" s="14">
        <f t="shared" ca="1" si="9"/>
        <v>21</v>
      </c>
    </row>
    <row r="45" spans="2:26" x14ac:dyDescent="0.3">
      <c r="B45" s="6">
        <v>2008</v>
      </c>
      <c r="C45" s="4">
        <v>3.9439789797504288E-2</v>
      </c>
      <c r="D45" s="4">
        <v>0.10864248481948846</v>
      </c>
      <c r="E45" s="4">
        <v>9.2861132484449715E-2</v>
      </c>
      <c r="F45" s="5">
        <v>179</v>
      </c>
      <c r="G45" s="5">
        <v>171</v>
      </c>
      <c r="H45" s="5">
        <v>174</v>
      </c>
      <c r="I45" s="4">
        <v>0.55865921787709494</v>
      </c>
      <c r="J45" s="4">
        <v>0.60818713450292394</v>
      </c>
      <c r="K45" s="4">
        <v>0.5977011494252874</v>
      </c>
      <c r="O45" s="12" t="s">
        <v>17</v>
      </c>
      <c r="P45" s="14">
        <f t="shared" ref="P45:Z45" ca="1" si="10">INDIRECT(ADDRESS($N7+P$4,7))</f>
        <v>80</v>
      </c>
      <c r="Q45" s="14">
        <f t="shared" ca="1" si="10"/>
        <v>71</v>
      </c>
      <c r="R45" s="14">
        <f t="shared" ca="1" si="10"/>
        <v>67</v>
      </c>
      <c r="S45" s="14">
        <f t="shared" ca="1" si="10"/>
        <v>74</v>
      </c>
      <c r="T45" s="14">
        <f t="shared" ca="1" si="10"/>
        <v>73</v>
      </c>
      <c r="U45" s="14">
        <f t="shared" ca="1" si="10"/>
        <v>73</v>
      </c>
      <c r="V45" s="14">
        <f t="shared" ca="1" si="10"/>
        <v>74</v>
      </c>
      <c r="W45" s="14">
        <f t="shared" ca="1" si="10"/>
        <v>73</v>
      </c>
      <c r="X45" s="14">
        <f t="shared" ca="1" si="10"/>
        <v>73</v>
      </c>
      <c r="Y45" s="14">
        <f t="shared" ca="1" si="10"/>
        <v>67</v>
      </c>
      <c r="Z45" s="14">
        <f t="shared" ca="1" si="10"/>
        <v>22</v>
      </c>
    </row>
    <row r="46" spans="2:26" x14ac:dyDescent="0.3">
      <c r="B46" s="6">
        <v>2009</v>
      </c>
      <c r="C46" s="4">
        <v>-7.6013999751893824E-3</v>
      </c>
      <c r="D46" s="4">
        <v>1.4298763535061099E-2</v>
      </c>
      <c r="E46" s="4">
        <v>-2.4817009022759295E-2</v>
      </c>
      <c r="F46" s="5">
        <v>48</v>
      </c>
      <c r="G46" s="5">
        <v>40</v>
      </c>
      <c r="H46" s="5">
        <v>17</v>
      </c>
      <c r="I46" s="4">
        <v>0.47916666666666669</v>
      </c>
      <c r="J46" s="4">
        <v>0.55000000000000004</v>
      </c>
      <c r="K46" s="4">
        <v>0.29411764705882354</v>
      </c>
      <c r="O46" s="12" t="s">
        <v>18</v>
      </c>
      <c r="P46" s="14">
        <f t="shared" ref="P46:Z46" ca="1" si="11">INDIRECT(ADDRESS($N8+P$4,7))</f>
        <v>152</v>
      </c>
      <c r="Q46" s="14">
        <f t="shared" ca="1" si="11"/>
        <v>51</v>
      </c>
      <c r="R46" s="14">
        <f t="shared" ca="1" si="11"/>
        <v>67</v>
      </c>
      <c r="S46" s="14">
        <f t="shared" ca="1" si="11"/>
        <v>123</v>
      </c>
      <c r="T46" s="14">
        <f t="shared" ca="1" si="11"/>
        <v>83</v>
      </c>
      <c r="U46" s="14">
        <f t="shared" ca="1" si="11"/>
        <v>136</v>
      </c>
      <c r="V46" s="14">
        <f t="shared" ca="1" si="11"/>
        <v>113</v>
      </c>
      <c r="W46" s="14">
        <f t="shared" ca="1" si="11"/>
        <v>160</v>
      </c>
      <c r="X46" s="14">
        <f t="shared" ca="1" si="11"/>
        <v>92</v>
      </c>
      <c r="Y46" s="14">
        <f t="shared" ca="1" si="11"/>
        <v>31</v>
      </c>
      <c r="Z46" s="14">
        <f t="shared" ca="1" si="11"/>
        <v>28</v>
      </c>
    </row>
    <row r="47" spans="2:26" x14ac:dyDescent="0.3">
      <c r="B47" s="6">
        <v>2010</v>
      </c>
      <c r="C47" s="4">
        <v>-5.9266821334757913E-2</v>
      </c>
      <c r="D47" s="4">
        <v>-4.8826888030320204E-2</v>
      </c>
      <c r="E47" s="4">
        <v>-4.6312095669004183E-2</v>
      </c>
      <c r="F47" s="5">
        <v>86</v>
      </c>
      <c r="G47" s="5">
        <v>76</v>
      </c>
      <c r="H47" s="5">
        <v>86</v>
      </c>
      <c r="I47" s="4">
        <v>0.38372093023255816</v>
      </c>
      <c r="J47" s="4">
        <v>0.36842105263157893</v>
      </c>
      <c r="K47" s="4">
        <v>0.36046511627906974</v>
      </c>
      <c r="O47" s="12" t="s">
        <v>19</v>
      </c>
      <c r="P47" s="14">
        <f t="shared" ref="P47:Z47" ca="1" si="12">INDIRECT(ADDRESS($N9+P$4,7))</f>
        <v>171</v>
      </c>
      <c r="Q47" s="14">
        <f t="shared" ca="1" si="12"/>
        <v>40</v>
      </c>
      <c r="R47" s="14">
        <f t="shared" ca="1" si="12"/>
        <v>76</v>
      </c>
      <c r="S47" s="14">
        <f t="shared" ca="1" si="12"/>
        <v>99</v>
      </c>
      <c r="T47" s="14">
        <f t="shared" ca="1" si="12"/>
        <v>102</v>
      </c>
      <c r="U47" s="14">
        <f t="shared" ca="1" si="12"/>
        <v>139</v>
      </c>
      <c r="V47" s="14">
        <f t="shared" ca="1" si="12"/>
        <v>110</v>
      </c>
      <c r="W47" s="14">
        <f t="shared" ca="1" si="12"/>
        <v>152</v>
      </c>
      <c r="X47" s="14">
        <f t="shared" ca="1" si="12"/>
        <v>86</v>
      </c>
      <c r="Y47" s="14">
        <f t="shared" ca="1" si="12"/>
        <v>48</v>
      </c>
      <c r="Z47" s="14">
        <f t="shared" ca="1" si="12"/>
        <v>27</v>
      </c>
    </row>
    <row r="48" spans="2:26" x14ac:dyDescent="0.3">
      <c r="B48" s="6">
        <v>2011</v>
      </c>
      <c r="C48" s="4">
        <v>5.2376805489853684E-2</v>
      </c>
      <c r="D48" s="4">
        <v>4.5632628760362337E-2</v>
      </c>
      <c r="E48" s="4">
        <v>5.2803549707542308E-2</v>
      </c>
      <c r="F48" s="5">
        <v>127</v>
      </c>
      <c r="G48" s="5">
        <v>99</v>
      </c>
      <c r="H48" s="5">
        <v>99</v>
      </c>
      <c r="I48" s="4">
        <v>0.54330708661417326</v>
      </c>
      <c r="J48" s="4">
        <v>0.55555555555555558</v>
      </c>
      <c r="K48" s="4">
        <v>0.53535353535353536</v>
      </c>
      <c r="O48" s="12" t="s">
        <v>23</v>
      </c>
      <c r="P48" s="14">
        <f t="shared" ref="P48:Z48" ca="1" si="13">INDIRECT(ADDRESS($N10+P$4,7))</f>
        <v>121</v>
      </c>
      <c r="Q48" s="14">
        <f t="shared" ca="1" si="13"/>
        <v>124</v>
      </c>
      <c r="R48" s="14">
        <f t="shared" ca="1" si="13"/>
        <v>118</v>
      </c>
      <c r="S48" s="14">
        <f t="shared" ca="1" si="13"/>
        <v>114</v>
      </c>
      <c r="T48" s="14">
        <f t="shared" ca="1" si="13"/>
        <v>132</v>
      </c>
      <c r="U48" s="14">
        <f t="shared" ca="1" si="13"/>
        <v>126</v>
      </c>
      <c r="V48" s="14">
        <f t="shared" ca="1" si="13"/>
        <v>119</v>
      </c>
      <c r="W48" s="14">
        <f t="shared" ca="1" si="13"/>
        <v>117</v>
      </c>
      <c r="X48" s="14">
        <f t="shared" ca="1" si="13"/>
        <v>115</v>
      </c>
      <c r="Y48" s="14">
        <f t="shared" ca="1" si="13"/>
        <v>119</v>
      </c>
      <c r="Z48" s="14">
        <f t="shared" ca="1" si="13"/>
        <v>45</v>
      </c>
    </row>
    <row r="49" spans="2:26" x14ac:dyDescent="0.3">
      <c r="B49" s="6">
        <v>2012</v>
      </c>
      <c r="C49" s="4">
        <v>2.8000916339230519E-2</v>
      </c>
      <c r="D49" s="4">
        <v>6.2496430003508019E-2</v>
      </c>
      <c r="E49" s="4">
        <v>8.8812532597909444E-2</v>
      </c>
      <c r="F49" s="5">
        <v>73</v>
      </c>
      <c r="G49" s="5">
        <v>102</v>
      </c>
      <c r="H49" s="5">
        <v>106</v>
      </c>
      <c r="I49" s="4">
        <v>0.57534246575342463</v>
      </c>
      <c r="J49" s="4">
        <v>0.58823529411764708</v>
      </c>
      <c r="K49" s="4">
        <v>0.59433962264150941</v>
      </c>
      <c r="O49" s="12" t="s">
        <v>24</v>
      </c>
      <c r="P49" s="14">
        <f t="shared" ref="P49:Z49" ca="1" si="14">INDIRECT(ADDRESS($N11+P$4,7))</f>
        <v>67</v>
      </c>
      <c r="Q49" s="14">
        <f t="shared" ca="1" si="14"/>
        <v>20</v>
      </c>
      <c r="R49" s="14">
        <f t="shared" ca="1" si="14"/>
        <v>23</v>
      </c>
      <c r="S49" s="14">
        <f t="shared" ca="1" si="14"/>
        <v>51</v>
      </c>
      <c r="T49" s="14">
        <f t="shared" ca="1" si="14"/>
        <v>38</v>
      </c>
      <c r="U49" s="14">
        <f t="shared" ca="1" si="14"/>
        <v>55</v>
      </c>
      <c r="V49" s="14">
        <f t="shared" ca="1" si="14"/>
        <v>49</v>
      </c>
      <c r="W49" s="14">
        <f t="shared" ca="1" si="14"/>
        <v>68</v>
      </c>
      <c r="X49" s="14">
        <f t="shared" ca="1" si="14"/>
        <v>42</v>
      </c>
      <c r="Y49" s="14">
        <f t="shared" ca="1" si="14"/>
        <v>13</v>
      </c>
      <c r="Z49" s="14">
        <f t="shared" ca="1" si="14"/>
        <v>13</v>
      </c>
    </row>
    <row r="50" spans="2:26" x14ac:dyDescent="0.3">
      <c r="B50" s="6">
        <v>2013</v>
      </c>
      <c r="C50" s="4">
        <v>0.1434652446218061</v>
      </c>
      <c r="D50" s="4">
        <v>0.14706348372159206</v>
      </c>
      <c r="E50" s="4">
        <v>0.14465880558885202</v>
      </c>
      <c r="F50" s="5">
        <v>146</v>
      </c>
      <c r="G50" s="5">
        <v>139</v>
      </c>
      <c r="H50" s="5">
        <v>133</v>
      </c>
      <c r="I50" s="4">
        <v>0.60273972602739723</v>
      </c>
      <c r="J50" s="4">
        <v>0.60431654676258995</v>
      </c>
      <c r="K50" s="4">
        <v>0.60150375939849621</v>
      </c>
      <c r="O50" s="12" t="s">
        <v>25</v>
      </c>
      <c r="P50" s="14">
        <f t="shared" ref="P50:Z50" ca="1" si="15">INDIRECT(ADDRESS($N12+P$4,7))</f>
        <v>140</v>
      </c>
      <c r="Q50" s="14">
        <f t="shared" ca="1" si="15"/>
        <v>110</v>
      </c>
      <c r="R50" s="14">
        <f t="shared" ca="1" si="15"/>
        <v>106</v>
      </c>
      <c r="S50" s="14">
        <f t="shared" ca="1" si="15"/>
        <v>135</v>
      </c>
      <c r="T50" s="14">
        <f t="shared" ca="1" si="15"/>
        <v>118</v>
      </c>
      <c r="U50" s="14">
        <f t="shared" ca="1" si="15"/>
        <v>145</v>
      </c>
      <c r="V50" s="14">
        <f t="shared" ca="1" si="15"/>
        <v>134</v>
      </c>
      <c r="W50" s="14">
        <f t="shared" ca="1" si="15"/>
        <v>147</v>
      </c>
      <c r="X50" s="14">
        <f t="shared" ca="1" si="15"/>
        <v>127</v>
      </c>
      <c r="Y50" s="14">
        <f t="shared" ca="1" si="15"/>
        <v>85</v>
      </c>
      <c r="Z50" s="14">
        <f t="shared" ca="1" si="15"/>
        <v>44</v>
      </c>
    </row>
    <row r="51" spans="2:26" x14ac:dyDescent="0.3">
      <c r="B51" s="6">
        <v>2014</v>
      </c>
      <c r="C51" s="4">
        <v>-6.3088727330846694E-3</v>
      </c>
      <c r="D51" s="4">
        <v>3.1997990512202534E-3</v>
      </c>
      <c r="E51" s="4">
        <v>6.199888112641494E-3</v>
      </c>
      <c r="F51" s="5">
        <v>117</v>
      </c>
      <c r="G51" s="5">
        <v>110</v>
      </c>
      <c r="H51" s="5">
        <v>120</v>
      </c>
      <c r="I51" s="4">
        <v>0.5213675213675214</v>
      </c>
      <c r="J51" s="4">
        <v>0.53636363636363638</v>
      </c>
      <c r="K51" s="4">
        <v>0.53333333333333333</v>
      </c>
      <c r="O51" s="12" t="s">
        <v>26</v>
      </c>
      <c r="P51" s="14">
        <f t="shared" ref="P51:Z51" ca="1" si="16">INDIRECT(ADDRESS($N13+P$4,7))</f>
        <v>152</v>
      </c>
      <c r="Q51" s="14">
        <f t="shared" ca="1" si="16"/>
        <v>64</v>
      </c>
      <c r="R51" s="14">
        <f t="shared" ca="1" si="16"/>
        <v>76</v>
      </c>
      <c r="S51" s="14">
        <f t="shared" ca="1" si="16"/>
        <v>118</v>
      </c>
      <c r="T51" s="14">
        <f t="shared" ca="1" si="16"/>
        <v>89</v>
      </c>
      <c r="U51" s="14">
        <f t="shared" ca="1" si="16"/>
        <v>142</v>
      </c>
      <c r="V51" s="14">
        <f t="shared" ca="1" si="16"/>
        <v>118</v>
      </c>
      <c r="W51" s="14">
        <f t="shared" ca="1" si="16"/>
        <v>159</v>
      </c>
      <c r="X51" s="14">
        <f t="shared" ca="1" si="16"/>
        <v>93</v>
      </c>
      <c r="Y51" s="14">
        <f t="shared" ca="1" si="16"/>
        <v>45</v>
      </c>
      <c r="Z51" s="14">
        <f t="shared" ca="1" si="16"/>
        <v>31</v>
      </c>
    </row>
    <row r="52" spans="2:26" x14ac:dyDescent="0.3">
      <c r="B52" s="6">
        <v>2015</v>
      </c>
      <c r="C52" s="4">
        <v>0.19905407802373798</v>
      </c>
      <c r="D52" s="4">
        <v>0.20620427493911597</v>
      </c>
      <c r="E52" s="4">
        <v>0.22947467556327572</v>
      </c>
      <c r="F52" s="5">
        <v>172</v>
      </c>
      <c r="G52" s="5">
        <v>152</v>
      </c>
      <c r="H52" s="5">
        <v>162</v>
      </c>
      <c r="I52" s="4">
        <v>0.63953488372093026</v>
      </c>
      <c r="J52" s="4">
        <v>0.67105263157894735</v>
      </c>
      <c r="K52" s="4">
        <v>0.66666666666666663</v>
      </c>
      <c r="O52" s="12" t="s">
        <v>16</v>
      </c>
      <c r="P52" s="10"/>
      <c r="R52" s="6"/>
      <c r="S52" s="6"/>
    </row>
    <row r="53" spans="2:26" x14ac:dyDescent="0.3">
      <c r="B53" s="6">
        <v>2016</v>
      </c>
      <c r="C53" s="4">
        <v>-1.7003771548690261E-2</v>
      </c>
      <c r="D53" s="4">
        <v>-1.4003557138758782E-2</v>
      </c>
      <c r="E53" s="4">
        <v>-3.6577595769162752E-3</v>
      </c>
      <c r="F53" s="5">
        <v>109</v>
      </c>
      <c r="G53" s="5">
        <v>86</v>
      </c>
      <c r="H53" s="5">
        <v>91</v>
      </c>
      <c r="I53" s="4">
        <v>0.39449541284403672</v>
      </c>
      <c r="J53" s="4">
        <v>0.38372093023255816</v>
      </c>
      <c r="K53" s="4">
        <v>0.42857142857142855</v>
      </c>
      <c r="O53" s="12" t="s">
        <v>13</v>
      </c>
      <c r="P53" s="14">
        <f ca="1">INDIRECT(ADDRESS($N6+P$4,8))</f>
        <v>57</v>
      </c>
      <c r="Q53" s="14">
        <f t="shared" ref="Q53:Z53" ca="1" si="17">INDIRECT(ADDRESS($N6+Q$4,8))</f>
        <v>15</v>
      </c>
      <c r="R53" s="14">
        <f t="shared" ca="1" si="17"/>
        <v>10</v>
      </c>
      <c r="S53" s="14">
        <f t="shared" ca="1" si="17"/>
        <v>65</v>
      </c>
      <c r="T53" s="14">
        <f t="shared" ca="1" si="17"/>
        <v>93</v>
      </c>
      <c r="U53" s="14">
        <f t="shared" ca="1" si="17"/>
        <v>121</v>
      </c>
      <c r="V53" s="14">
        <f t="shared" ca="1" si="17"/>
        <v>19</v>
      </c>
      <c r="W53" s="14">
        <f t="shared" ca="1" si="17"/>
        <v>87</v>
      </c>
      <c r="X53" s="14">
        <f t="shared" ca="1" si="17"/>
        <v>6</v>
      </c>
      <c r="Y53" s="14">
        <f t="shared" ca="1" si="17"/>
        <v>19</v>
      </c>
      <c r="Z53" s="14">
        <f t="shared" ca="1" si="17"/>
        <v>12</v>
      </c>
    </row>
    <row r="54" spans="2:26" x14ac:dyDescent="0.3">
      <c r="B54" s="6">
        <v>2017</v>
      </c>
      <c r="C54" s="4">
        <v>-3.0362183467008808E-2</v>
      </c>
      <c r="D54" s="4">
        <v>-3.6188541775350358E-2</v>
      </c>
      <c r="E54" s="4">
        <v>-1.782233519840748E-2</v>
      </c>
      <c r="F54" s="5">
        <v>60</v>
      </c>
      <c r="G54" s="5">
        <v>48</v>
      </c>
      <c r="H54" s="5">
        <v>34</v>
      </c>
      <c r="I54" s="4">
        <v>0.33333333333333331</v>
      </c>
      <c r="J54" s="4">
        <v>0.33333333333333331</v>
      </c>
      <c r="K54" s="4">
        <v>0.38235294117647056</v>
      </c>
      <c r="O54" s="12" t="s">
        <v>17</v>
      </c>
      <c r="P54" s="14">
        <f t="shared" ref="P54:Z54" ca="1" si="18">INDIRECT(ADDRESS($N7+P$4,8))</f>
        <v>75</v>
      </c>
      <c r="Q54" s="14">
        <f t="shared" ca="1" si="18"/>
        <v>68</v>
      </c>
      <c r="R54" s="14">
        <f t="shared" ca="1" si="18"/>
        <v>66</v>
      </c>
      <c r="S54" s="14">
        <f t="shared" ca="1" si="18"/>
        <v>75</v>
      </c>
      <c r="T54" s="14">
        <f t="shared" ca="1" si="18"/>
        <v>65</v>
      </c>
      <c r="U54" s="14">
        <f t="shared" ca="1" si="18"/>
        <v>68</v>
      </c>
      <c r="V54" s="14">
        <f t="shared" ca="1" si="18"/>
        <v>72</v>
      </c>
      <c r="W54" s="14">
        <f t="shared" ca="1" si="18"/>
        <v>76</v>
      </c>
      <c r="X54" s="14">
        <f t="shared" ca="1" si="18"/>
        <v>70</v>
      </c>
      <c r="Y54" s="14">
        <f t="shared" ca="1" si="18"/>
        <v>64</v>
      </c>
      <c r="Z54" s="14">
        <f t="shared" ca="1" si="18"/>
        <v>17</v>
      </c>
    </row>
    <row r="55" spans="2:26" x14ac:dyDescent="0.3">
      <c r="B55" s="6">
        <v>2018</v>
      </c>
      <c r="C55" s="4">
        <v>-6.9220578361371965E-2</v>
      </c>
      <c r="D55" s="4">
        <v>8.0901304518578465E-2</v>
      </c>
      <c r="E55" s="4">
        <v>8.2540787695217332E-2</v>
      </c>
      <c r="F55" s="5">
        <v>39</v>
      </c>
      <c r="G55" s="5">
        <v>27</v>
      </c>
      <c r="H55" s="5">
        <v>26</v>
      </c>
      <c r="I55" s="4">
        <v>0.46153846153846156</v>
      </c>
      <c r="J55" s="4">
        <v>0.55555555555555558</v>
      </c>
      <c r="K55" s="4">
        <v>0.57692307692307687</v>
      </c>
      <c r="O55" s="12" t="s">
        <v>18</v>
      </c>
      <c r="P55" s="14">
        <f t="shared" ref="P55:Z55" ca="1" si="19">INDIRECT(ADDRESS($N8+P$4,8))</f>
        <v>149</v>
      </c>
      <c r="Q55" s="14">
        <f t="shared" ca="1" si="19"/>
        <v>32</v>
      </c>
      <c r="R55" s="14">
        <f t="shared" ca="1" si="19"/>
        <v>35</v>
      </c>
      <c r="S55" s="14">
        <f t="shared" ca="1" si="19"/>
        <v>119</v>
      </c>
      <c r="T55" s="14">
        <f t="shared" ca="1" si="19"/>
        <v>71</v>
      </c>
      <c r="U55" s="14">
        <f t="shared" ca="1" si="19"/>
        <v>137</v>
      </c>
      <c r="V55" s="14">
        <f t="shared" ca="1" si="19"/>
        <v>103</v>
      </c>
      <c r="W55" s="14">
        <f t="shared" ca="1" si="19"/>
        <v>164</v>
      </c>
      <c r="X55" s="14">
        <f t="shared" ca="1" si="19"/>
        <v>83</v>
      </c>
      <c r="Y55" s="14">
        <f t="shared" ca="1" si="19"/>
        <v>19</v>
      </c>
      <c r="Z55" s="14">
        <f t="shared" ca="1" si="19"/>
        <v>26</v>
      </c>
    </row>
    <row r="56" spans="2:26" x14ac:dyDescent="0.3">
      <c r="C56" s="1" t="s">
        <v>20</v>
      </c>
      <c r="D56" s="1" t="s">
        <v>21</v>
      </c>
      <c r="E56" s="1" t="s">
        <v>22</v>
      </c>
      <c r="F56" s="2" t="s">
        <v>20</v>
      </c>
      <c r="G56" s="2" t="s">
        <v>21</v>
      </c>
      <c r="H56" s="2" t="s">
        <v>22</v>
      </c>
      <c r="I56" s="2" t="s">
        <v>20</v>
      </c>
      <c r="J56" s="2" t="s">
        <v>21</v>
      </c>
      <c r="K56" s="2" t="s">
        <v>22</v>
      </c>
      <c r="O56" s="12" t="s">
        <v>19</v>
      </c>
      <c r="P56" s="14">
        <f t="shared" ref="P56:Z56" ca="1" si="20">INDIRECT(ADDRESS($N9+P$4,8))</f>
        <v>174</v>
      </c>
      <c r="Q56" s="14">
        <f t="shared" ca="1" si="20"/>
        <v>17</v>
      </c>
      <c r="R56" s="14">
        <f t="shared" ca="1" si="20"/>
        <v>86</v>
      </c>
      <c r="S56" s="14">
        <f t="shared" ca="1" si="20"/>
        <v>99</v>
      </c>
      <c r="T56" s="14">
        <f t="shared" ca="1" si="20"/>
        <v>106</v>
      </c>
      <c r="U56" s="14">
        <f t="shared" ca="1" si="20"/>
        <v>133</v>
      </c>
      <c r="V56" s="14">
        <f t="shared" ca="1" si="20"/>
        <v>120</v>
      </c>
      <c r="W56" s="14">
        <f t="shared" ca="1" si="20"/>
        <v>162</v>
      </c>
      <c r="X56" s="14">
        <f t="shared" ca="1" si="20"/>
        <v>91</v>
      </c>
      <c r="Y56" s="14">
        <f t="shared" ca="1" si="20"/>
        <v>34</v>
      </c>
      <c r="Z56" s="14">
        <f t="shared" ca="1" si="20"/>
        <v>26</v>
      </c>
    </row>
    <row r="57" spans="2:26" x14ac:dyDescent="0.3">
      <c r="B57" t="s">
        <v>23</v>
      </c>
      <c r="C57" s="3" t="s">
        <v>27</v>
      </c>
      <c r="D57" s="3" t="s">
        <v>28</v>
      </c>
      <c r="E57" s="3" t="s">
        <v>29</v>
      </c>
      <c r="F57" s="3" t="s">
        <v>27</v>
      </c>
      <c r="G57" s="3" t="s">
        <v>28</v>
      </c>
      <c r="H57" s="3" t="s">
        <v>29</v>
      </c>
      <c r="I57" s="3" t="s">
        <v>27</v>
      </c>
      <c r="J57" s="3" t="s">
        <v>28</v>
      </c>
      <c r="K57" s="3" t="s">
        <v>29</v>
      </c>
      <c r="O57" s="12" t="s">
        <v>23</v>
      </c>
      <c r="P57" s="14">
        <f t="shared" ref="P57:Z57" ca="1" si="21">INDIRECT(ADDRESS($N10+P$4,8))</f>
        <v>130</v>
      </c>
      <c r="Q57" s="14">
        <f t="shared" ca="1" si="21"/>
        <v>142</v>
      </c>
      <c r="R57" s="14">
        <f t="shared" ca="1" si="21"/>
        <v>118</v>
      </c>
      <c r="S57" s="14">
        <f t="shared" ca="1" si="21"/>
        <v>115</v>
      </c>
      <c r="T57" s="14">
        <f t="shared" ca="1" si="21"/>
        <v>122</v>
      </c>
      <c r="U57" s="14">
        <f t="shared" ca="1" si="21"/>
        <v>126</v>
      </c>
      <c r="V57" s="14">
        <f t="shared" ca="1" si="21"/>
        <v>109</v>
      </c>
      <c r="W57" s="14">
        <f t="shared" ca="1" si="21"/>
        <v>108</v>
      </c>
      <c r="X57" s="14">
        <f t="shared" ca="1" si="21"/>
        <v>120</v>
      </c>
      <c r="Y57" s="14">
        <f t="shared" ca="1" si="21"/>
        <v>127</v>
      </c>
      <c r="Z57" s="14">
        <f t="shared" ca="1" si="21"/>
        <v>58</v>
      </c>
    </row>
    <row r="58" spans="2:26" x14ac:dyDescent="0.3">
      <c r="B58" s="6">
        <v>2008</v>
      </c>
      <c r="C58" s="4">
        <v>0.24171635783992818</v>
      </c>
      <c r="D58" s="4">
        <v>0.32012432274441083</v>
      </c>
      <c r="E58" s="4">
        <v>0.19961759400272139</v>
      </c>
      <c r="F58" s="5">
        <v>129</v>
      </c>
      <c r="G58" s="5">
        <v>121</v>
      </c>
      <c r="H58" s="5">
        <v>130</v>
      </c>
      <c r="I58" s="4">
        <v>0.70542635658914732</v>
      </c>
      <c r="J58" s="4">
        <v>0.78512396694214881</v>
      </c>
      <c r="K58" s="4">
        <v>0.63846153846153841</v>
      </c>
      <c r="O58" s="12" t="s">
        <v>24</v>
      </c>
      <c r="P58" s="14">
        <f t="shared" ref="P58:Z58" ca="1" si="22">INDIRECT(ADDRESS($N11+P$4,8))</f>
        <v>71</v>
      </c>
      <c r="Q58" s="14">
        <f t="shared" ca="1" si="22"/>
        <v>17</v>
      </c>
      <c r="R58" s="14">
        <f t="shared" ca="1" si="22"/>
        <v>8</v>
      </c>
      <c r="S58" s="14">
        <f t="shared" ca="1" si="22"/>
        <v>55</v>
      </c>
      <c r="T58" s="14">
        <f t="shared" ca="1" si="22"/>
        <v>33</v>
      </c>
      <c r="U58" s="14">
        <f t="shared" ca="1" si="22"/>
        <v>56</v>
      </c>
      <c r="V58" s="14">
        <f t="shared" ca="1" si="22"/>
        <v>40</v>
      </c>
      <c r="W58" s="14">
        <f t="shared" ca="1" si="22"/>
        <v>68</v>
      </c>
      <c r="X58" s="14">
        <f t="shared" ca="1" si="22"/>
        <v>37</v>
      </c>
      <c r="Y58" s="14">
        <f t="shared" ca="1" si="22"/>
        <v>4</v>
      </c>
      <c r="Z58" s="14">
        <f t="shared" ca="1" si="22"/>
        <v>12</v>
      </c>
    </row>
    <row r="59" spans="2:26" x14ac:dyDescent="0.3">
      <c r="B59" s="6">
        <v>2009</v>
      </c>
      <c r="C59" s="4">
        <v>3.7806590079107805E-2</v>
      </c>
      <c r="D59" s="4">
        <v>6.5514638169625439E-2</v>
      </c>
      <c r="E59" s="4">
        <v>2.479622265784287E-2</v>
      </c>
      <c r="F59" s="5">
        <v>129</v>
      </c>
      <c r="G59" s="5">
        <v>124</v>
      </c>
      <c r="H59" s="5">
        <v>142</v>
      </c>
      <c r="I59" s="4">
        <v>0.49612403100775193</v>
      </c>
      <c r="J59" s="4">
        <v>0.55645161290322576</v>
      </c>
      <c r="K59" s="4">
        <v>0.46478873239436619</v>
      </c>
      <c r="O59" s="12" t="s">
        <v>25</v>
      </c>
      <c r="P59" s="14">
        <f t="shared" ref="P59:Z59" ca="1" si="23">INDIRECT(ADDRESS($N12+P$4,8))</f>
        <v>135</v>
      </c>
      <c r="Q59" s="14">
        <f t="shared" ca="1" si="23"/>
        <v>106</v>
      </c>
      <c r="R59" s="14">
        <f t="shared" ca="1" si="23"/>
        <v>109</v>
      </c>
      <c r="S59" s="14">
        <f t="shared" ca="1" si="23"/>
        <v>131</v>
      </c>
      <c r="T59" s="14">
        <f t="shared" ca="1" si="23"/>
        <v>115</v>
      </c>
      <c r="U59" s="14">
        <f t="shared" ca="1" si="23"/>
        <v>132</v>
      </c>
      <c r="V59" s="14">
        <f t="shared" ca="1" si="23"/>
        <v>133</v>
      </c>
      <c r="W59" s="14">
        <f t="shared" ca="1" si="23"/>
        <v>151</v>
      </c>
      <c r="X59" s="14">
        <f t="shared" ca="1" si="23"/>
        <v>134</v>
      </c>
      <c r="Y59" s="14">
        <f t="shared" ca="1" si="23"/>
        <v>81</v>
      </c>
      <c r="Z59" s="14">
        <f t="shared" ca="1" si="23"/>
        <v>47</v>
      </c>
    </row>
    <row r="60" spans="2:26" x14ac:dyDescent="0.3">
      <c r="B60" s="6">
        <v>2010</v>
      </c>
      <c r="C60" s="4">
        <v>1.5845994453385082E-2</v>
      </c>
      <c r="D60" s="4">
        <v>6.01471379456191E-2</v>
      </c>
      <c r="E60" s="4">
        <v>-1.2653215617387192E-2</v>
      </c>
      <c r="F60" s="5">
        <v>111</v>
      </c>
      <c r="G60" s="5">
        <v>118</v>
      </c>
      <c r="H60" s="5">
        <v>118</v>
      </c>
      <c r="I60" s="4">
        <v>0.45945945945945948</v>
      </c>
      <c r="J60" s="4">
        <v>0.51694915254237284</v>
      </c>
      <c r="K60" s="4">
        <v>0.40677966101694918</v>
      </c>
      <c r="O60" s="12" t="s">
        <v>26</v>
      </c>
      <c r="P60" s="14">
        <f t="shared" ref="P60:Z60" ca="1" si="24">INDIRECT(ADDRESS($N13+P$4,8))</f>
        <v>153</v>
      </c>
      <c r="Q60" s="14">
        <f t="shared" ca="1" si="24"/>
        <v>31</v>
      </c>
      <c r="R60" s="14">
        <f t="shared" ca="1" si="24"/>
        <v>58</v>
      </c>
      <c r="S60" s="14">
        <f t="shared" ca="1" si="24"/>
        <v>119</v>
      </c>
      <c r="T60" s="14">
        <f t="shared" ca="1" si="24"/>
        <v>90</v>
      </c>
      <c r="U60" s="14">
        <f t="shared" ca="1" si="24"/>
        <v>137</v>
      </c>
      <c r="V60" s="14">
        <f t="shared" ca="1" si="24"/>
        <v>114</v>
      </c>
      <c r="W60" s="14">
        <f t="shared" ca="1" si="24"/>
        <v>164</v>
      </c>
      <c r="X60" s="14">
        <f t="shared" ca="1" si="24"/>
        <v>91</v>
      </c>
      <c r="Y60" s="14">
        <f t="shared" ca="1" si="24"/>
        <v>26</v>
      </c>
      <c r="Z60" s="14">
        <f t="shared" ca="1" si="24"/>
        <v>27</v>
      </c>
    </row>
    <row r="61" spans="2:26" x14ac:dyDescent="0.3">
      <c r="B61" s="6">
        <v>2011</v>
      </c>
      <c r="C61" s="4">
        <v>0.10711361918244311</v>
      </c>
      <c r="D61" s="4">
        <v>0.14640925806949245</v>
      </c>
      <c r="E61" s="4">
        <v>6.0663073899055453E-2</v>
      </c>
      <c r="F61" s="5">
        <v>124</v>
      </c>
      <c r="G61" s="5">
        <v>114</v>
      </c>
      <c r="H61" s="5">
        <v>115</v>
      </c>
      <c r="I61" s="4">
        <v>0.58064516129032262</v>
      </c>
      <c r="J61" s="4">
        <v>0.6228070175438597</v>
      </c>
      <c r="K61" s="4">
        <v>0.5304347826086957</v>
      </c>
    </row>
    <row r="62" spans="2:26" ht="18" x14ac:dyDescent="0.35">
      <c r="B62" s="6">
        <v>2012</v>
      </c>
      <c r="C62" s="4">
        <v>0.17268689145706428</v>
      </c>
      <c r="D62" s="4">
        <v>0.24105179364251494</v>
      </c>
      <c r="E62" s="4">
        <v>0.10592220769295957</v>
      </c>
      <c r="F62" s="5">
        <v>123</v>
      </c>
      <c r="G62" s="5">
        <v>132</v>
      </c>
      <c r="H62" s="5">
        <v>122</v>
      </c>
      <c r="I62" s="4">
        <v>0.69105691056910568</v>
      </c>
      <c r="J62" s="4">
        <v>0.77272727272727271</v>
      </c>
      <c r="K62" s="4">
        <v>0.62295081967213117</v>
      </c>
      <c r="P62" s="13" t="s">
        <v>3</v>
      </c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2:26" x14ac:dyDescent="0.3">
      <c r="B63" s="6">
        <v>2013</v>
      </c>
      <c r="C63" s="4">
        <v>0.18852385475967459</v>
      </c>
      <c r="D63" s="4">
        <v>0.23593378182875946</v>
      </c>
      <c r="E63" s="4">
        <v>0.1602998157654838</v>
      </c>
      <c r="F63" s="5">
        <v>128</v>
      </c>
      <c r="G63" s="5">
        <v>126</v>
      </c>
      <c r="H63" s="5">
        <v>126</v>
      </c>
      <c r="I63" s="4">
        <v>0.640625</v>
      </c>
      <c r="J63" s="4">
        <v>0.70634920634920639</v>
      </c>
      <c r="K63" s="4">
        <v>0.61111111111111116</v>
      </c>
      <c r="O63" s="12" t="s">
        <v>14</v>
      </c>
      <c r="P63" s="12">
        <f ca="1">INDIRECT(ADDRESS($N6+P$4,2))</f>
        <v>2008</v>
      </c>
      <c r="Q63" s="12">
        <f t="shared" ref="Q63:Z63" ca="1" si="25">INDIRECT(ADDRESS($N6+Q$4,2))</f>
        <v>2009</v>
      </c>
      <c r="R63" s="12">
        <f t="shared" ca="1" si="25"/>
        <v>2010</v>
      </c>
      <c r="S63" s="12">
        <f t="shared" ca="1" si="25"/>
        <v>2011</v>
      </c>
      <c r="T63" s="12">
        <f t="shared" ca="1" si="25"/>
        <v>2012</v>
      </c>
      <c r="U63" s="12">
        <f t="shared" ca="1" si="25"/>
        <v>2013</v>
      </c>
      <c r="V63" s="12">
        <f t="shared" ca="1" si="25"/>
        <v>2014</v>
      </c>
      <c r="W63" s="12">
        <f t="shared" ca="1" si="25"/>
        <v>2015</v>
      </c>
      <c r="X63" s="12">
        <f t="shared" ca="1" si="25"/>
        <v>2016</v>
      </c>
      <c r="Y63" s="12">
        <f t="shared" ca="1" si="25"/>
        <v>2017</v>
      </c>
      <c r="Z63" s="12">
        <f t="shared" ca="1" si="25"/>
        <v>2018</v>
      </c>
    </row>
    <row r="64" spans="2:26" x14ac:dyDescent="0.3">
      <c r="B64" s="6">
        <v>2014</v>
      </c>
      <c r="C64" s="4">
        <v>7.5566743771525724E-2</v>
      </c>
      <c r="D64" s="4">
        <v>0.12439396607978459</v>
      </c>
      <c r="E64" s="4">
        <v>3.1677072008672535E-2</v>
      </c>
      <c r="F64" s="5">
        <v>107</v>
      </c>
      <c r="G64" s="5">
        <v>119</v>
      </c>
      <c r="H64" s="5">
        <v>109</v>
      </c>
      <c r="I64" s="4">
        <v>0.58878504672897192</v>
      </c>
      <c r="J64" s="4">
        <v>0.6386554621848739</v>
      </c>
      <c r="K64" s="4">
        <v>0.52293577981651373</v>
      </c>
      <c r="O64" s="12" t="s">
        <v>13</v>
      </c>
      <c r="P64" s="11">
        <f ca="1">INDIRECT(ADDRESS($N6+P$4,9))</f>
        <v>0.64893617021276595</v>
      </c>
      <c r="Q64" s="11">
        <f t="shared" ref="Q64:Z64" ca="1" si="26">INDIRECT(ADDRESS($N6+Q$4,9))</f>
        <v>0.54545454545454541</v>
      </c>
      <c r="R64" s="11">
        <f t="shared" ca="1" si="26"/>
        <v>0.4838709677419355</v>
      </c>
      <c r="S64" s="11">
        <f t="shared" ca="1" si="26"/>
        <v>0.55789473684210522</v>
      </c>
      <c r="T64" s="11">
        <f t="shared" ca="1" si="26"/>
        <v>0.6428571428571429</v>
      </c>
      <c r="U64" s="11">
        <f t="shared" ca="1" si="26"/>
        <v>0.60689655172413792</v>
      </c>
      <c r="V64" s="11">
        <f t="shared" ca="1" si="26"/>
        <v>0.53703703703703709</v>
      </c>
      <c r="W64" s="11">
        <f t="shared" ca="1" si="26"/>
        <v>0.69696969696969702</v>
      </c>
      <c r="X64" s="11">
        <f t="shared" ca="1" si="26"/>
        <v>0.47540983606557374</v>
      </c>
      <c r="Y64" s="11">
        <f t="shared" ca="1" si="26"/>
        <v>0.6</v>
      </c>
      <c r="Z64" s="11">
        <f t="shared" ca="1" si="26"/>
        <v>0.61538461538461542</v>
      </c>
    </row>
    <row r="65" spans="2:26" x14ac:dyDescent="0.3">
      <c r="B65" s="6">
        <v>2015</v>
      </c>
      <c r="C65" s="4">
        <v>0.23562801192967431</v>
      </c>
      <c r="D65" s="4">
        <v>0.3132206164160618</v>
      </c>
      <c r="E65" s="4">
        <v>0.22341417715497625</v>
      </c>
      <c r="F65" s="5">
        <v>109</v>
      </c>
      <c r="G65" s="5">
        <v>117</v>
      </c>
      <c r="H65" s="5">
        <v>108</v>
      </c>
      <c r="I65" s="4">
        <v>0.75229357798165142</v>
      </c>
      <c r="J65" s="4">
        <v>0.77777777777777779</v>
      </c>
      <c r="K65" s="4">
        <v>0.71296296296296291</v>
      </c>
      <c r="O65" s="12" t="s">
        <v>17</v>
      </c>
      <c r="P65" s="11">
        <f t="shared" ref="P65:Z65" ca="1" si="27">INDIRECT(ADDRESS($N7+P$4,9))</f>
        <v>0.7142857142857143</v>
      </c>
      <c r="Q65" s="11">
        <f t="shared" ca="1" si="27"/>
        <v>0.56338028169014087</v>
      </c>
      <c r="R65" s="11">
        <f t="shared" ca="1" si="27"/>
        <v>0.39705882352941174</v>
      </c>
      <c r="S65" s="11">
        <f t="shared" ca="1" si="27"/>
        <v>0.60526315789473684</v>
      </c>
      <c r="T65" s="11">
        <f t="shared" ca="1" si="27"/>
        <v>0.68</v>
      </c>
      <c r="U65" s="11">
        <f t="shared" ca="1" si="27"/>
        <v>0.6470588235294118</v>
      </c>
      <c r="V65" s="11">
        <f t="shared" ca="1" si="27"/>
        <v>0.58536585365853655</v>
      </c>
      <c r="W65" s="11">
        <f t="shared" ca="1" si="27"/>
        <v>0.74683544303797467</v>
      </c>
      <c r="X65" s="11">
        <f t="shared" ca="1" si="27"/>
        <v>0.56470588235294117</v>
      </c>
      <c r="Y65" s="11">
        <f t="shared" ca="1" si="27"/>
        <v>0.56521739130434778</v>
      </c>
      <c r="Z65" s="11">
        <f t="shared" ca="1" si="27"/>
        <v>0.5</v>
      </c>
    </row>
    <row r="66" spans="2:26" x14ac:dyDescent="0.3">
      <c r="B66" s="6">
        <v>2016</v>
      </c>
      <c r="C66" s="4">
        <v>8.8502318944634117E-2</v>
      </c>
      <c r="D66" s="4">
        <v>0.13549918680633222</v>
      </c>
      <c r="E66" s="4">
        <v>3.0502258933849724E-2</v>
      </c>
      <c r="F66" s="5">
        <v>111</v>
      </c>
      <c r="G66" s="5">
        <v>115</v>
      </c>
      <c r="H66" s="5">
        <v>120</v>
      </c>
      <c r="I66" s="4">
        <v>0.51351351351351349</v>
      </c>
      <c r="J66" s="4">
        <v>0.59130434782608698</v>
      </c>
      <c r="K66" s="4">
        <v>0.45833333333333331</v>
      </c>
      <c r="O66" s="12" t="s">
        <v>18</v>
      </c>
      <c r="P66" s="11">
        <f t="shared" ref="P66:Z66" ca="1" si="28">INDIRECT(ADDRESS($N8+P$4,9))</f>
        <v>0.63513513513513509</v>
      </c>
      <c r="Q66" s="11">
        <f t="shared" ca="1" si="28"/>
        <v>0.43209876543209874</v>
      </c>
      <c r="R66" s="11">
        <f t="shared" ca="1" si="28"/>
        <v>0.37037037037037035</v>
      </c>
      <c r="S66" s="11">
        <f t="shared" ca="1" si="28"/>
        <v>0.51587301587301593</v>
      </c>
      <c r="T66" s="11">
        <f t="shared" ca="1" si="28"/>
        <v>0.53125</v>
      </c>
      <c r="U66" s="11">
        <f t="shared" ca="1" si="28"/>
        <v>0.6</v>
      </c>
      <c r="V66" s="11">
        <f t="shared" ca="1" si="28"/>
        <v>0.50413223140495866</v>
      </c>
      <c r="W66" s="11">
        <f t="shared" ca="1" si="28"/>
        <v>0.64331210191082799</v>
      </c>
      <c r="X66" s="11">
        <f t="shared" ca="1" si="28"/>
        <v>0.3783783783783784</v>
      </c>
      <c r="Y66" s="11">
        <f t="shared" ca="1" si="28"/>
        <v>0.37254901960784315</v>
      </c>
      <c r="Z66" s="11">
        <f t="shared" ca="1" si="28"/>
        <v>0.45714285714285713</v>
      </c>
    </row>
    <row r="67" spans="2:26" x14ac:dyDescent="0.3">
      <c r="B67" s="6">
        <v>2017</v>
      </c>
      <c r="C67" s="4">
        <v>5.0569100529602062E-2</v>
      </c>
      <c r="D67" s="4">
        <v>8.5510522798827093E-2</v>
      </c>
      <c r="E67" s="4">
        <v>-7.858413224456573E-3</v>
      </c>
      <c r="F67" s="5">
        <v>116</v>
      </c>
      <c r="G67" s="5">
        <v>119</v>
      </c>
      <c r="H67" s="5">
        <v>127</v>
      </c>
      <c r="I67" s="4">
        <v>0.53448275862068961</v>
      </c>
      <c r="J67" s="4">
        <v>0.56302521008403361</v>
      </c>
      <c r="K67" s="4">
        <v>0.48031496062992124</v>
      </c>
      <c r="O67" s="12" t="s">
        <v>19</v>
      </c>
      <c r="P67" s="11">
        <f t="shared" ref="P67:Z67" ca="1" si="29">INDIRECT(ADDRESS($N9+P$4,9))</f>
        <v>0.55865921787709494</v>
      </c>
      <c r="Q67" s="11">
        <f t="shared" ca="1" si="29"/>
        <v>0.47916666666666669</v>
      </c>
      <c r="R67" s="11">
        <f t="shared" ca="1" si="29"/>
        <v>0.38372093023255816</v>
      </c>
      <c r="S67" s="11">
        <f t="shared" ca="1" si="29"/>
        <v>0.54330708661417326</v>
      </c>
      <c r="T67" s="11">
        <f t="shared" ca="1" si="29"/>
        <v>0.57534246575342463</v>
      </c>
      <c r="U67" s="11">
        <f t="shared" ca="1" si="29"/>
        <v>0.60273972602739723</v>
      </c>
      <c r="V67" s="11">
        <f t="shared" ca="1" si="29"/>
        <v>0.5213675213675214</v>
      </c>
      <c r="W67" s="11">
        <f t="shared" ca="1" si="29"/>
        <v>0.63953488372093026</v>
      </c>
      <c r="X67" s="11">
        <f t="shared" ca="1" si="29"/>
        <v>0.39449541284403672</v>
      </c>
      <c r="Y67" s="11">
        <f t="shared" ca="1" si="29"/>
        <v>0.33333333333333331</v>
      </c>
      <c r="Z67" s="11">
        <f t="shared" ca="1" si="29"/>
        <v>0.46153846153846156</v>
      </c>
    </row>
    <row r="68" spans="2:26" x14ac:dyDescent="0.3">
      <c r="B68" s="6">
        <v>2018</v>
      </c>
      <c r="C68" s="4">
        <v>0.14289103195235908</v>
      </c>
      <c r="D68" s="4">
        <v>0.22394481418785395</v>
      </c>
      <c r="E68" s="4">
        <v>0.17365261279787614</v>
      </c>
      <c r="F68" s="5">
        <v>50</v>
      </c>
      <c r="G68" s="5">
        <v>45</v>
      </c>
      <c r="H68" s="5">
        <v>58</v>
      </c>
      <c r="I68" s="4">
        <v>0.57999999999999996</v>
      </c>
      <c r="J68" s="4">
        <v>0.62222222222222223</v>
      </c>
      <c r="K68" s="4">
        <v>0.58620689655172409</v>
      </c>
      <c r="O68" s="12" t="s">
        <v>23</v>
      </c>
      <c r="P68" s="11">
        <f t="shared" ref="P68:Z68" ca="1" si="30">INDIRECT(ADDRESS($N10+P$4,9))</f>
        <v>0.70542635658914732</v>
      </c>
      <c r="Q68" s="11">
        <f t="shared" ca="1" si="30"/>
        <v>0.49612403100775193</v>
      </c>
      <c r="R68" s="11">
        <f t="shared" ca="1" si="30"/>
        <v>0.45945945945945948</v>
      </c>
      <c r="S68" s="11">
        <f t="shared" ca="1" si="30"/>
        <v>0.58064516129032262</v>
      </c>
      <c r="T68" s="11">
        <f t="shared" ca="1" si="30"/>
        <v>0.69105691056910568</v>
      </c>
      <c r="U68" s="11">
        <f t="shared" ca="1" si="30"/>
        <v>0.640625</v>
      </c>
      <c r="V68" s="11">
        <f t="shared" ca="1" si="30"/>
        <v>0.58878504672897192</v>
      </c>
      <c r="W68" s="11">
        <f t="shared" ca="1" si="30"/>
        <v>0.75229357798165142</v>
      </c>
      <c r="X68" s="11">
        <f t="shared" ca="1" si="30"/>
        <v>0.51351351351351349</v>
      </c>
      <c r="Y68" s="11">
        <f t="shared" ca="1" si="30"/>
        <v>0.53448275862068961</v>
      </c>
      <c r="Z68" s="11">
        <f t="shared" ca="1" si="30"/>
        <v>0.57999999999999996</v>
      </c>
    </row>
    <row r="69" spans="2:26" x14ac:dyDescent="0.3">
      <c r="C69" s="1">
        <v>10</v>
      </c>
      <c r="D69" s="1">
        <v>20</v>
      </c>
      <c r="E69" s="1">
        <v>30</v>
      </c>
      <c r="F69" s="2">
        <v>10</v>
      </c>
      <c r="G69" s="2">
        <v>20</v>
      </c>
      <c r="H69" s="2">
        <v>30</v>
      </c>
      <c r="I69" s="2">
        <v>10</v>
      </c>
      <c r="J69" s="2">
        <v>20</v>
      </c>
      <c r="K69" s="2">
        <v>30</v>
      </c>
      <c r="O69" s="12" t="s">
        <v>24</v>
      </c>
      <c r="P69" s="11">
        <f t="shared" ref="P69:Z69" ca="1" si="31">INDIRECT(ADDRESS($N11+P$4,9))</f>
        <v>0.81538461538461537</v>
      </c>
      <c r="Q69" s="11">
        <f t="shared" ca="1" si="31"/>
        <v>0.64864864864864868</v>
      </c>
      <c r="R69" s="11">
        <f t="shared" ca="1" si="31"/>
        <v>0.43902439024390244</v>
      </c>
      <c r="S69" s="11">
        <f t="shared" ca="1" si="31"/>
        <v>0.68965517241379315</v>
      </c>
      <c r="T69" s="11">
        <f t="shared" ca="1" si="31"/>
        <v>0.75471698113207553</v>
      </c>
      <c r="U69" s="11">
        <f t="shared" ca="1" si="31"/>
        <v>0.7</v>
      </c>
      <c r="V69" s="11">
        <f t="shared" ca="1" si="31"/>
        <v>0.72580645161290325</v>
      </c>
      <c r="W69" s="11">
        <f t="shared" ca="1" si="31"/>
        <v>0.76056338028169013</v>
      </c>
      <c r="X69" s="11">
        <f t="shared" ca="1" si="31"/>
        <v>0.66666666666666663</v>
      </c>
      <c r="Y69" s="11">
        <f t="shared" ca="1" si="31"/>
        <v>0.73333333333333328</v>
      </c>
      <c r="Z69" s="11">
        <f t="shared" ca="1" si="31"/>
        <v>0.70588235294117652</v>
      </c>
    </row>
    <row r="70" spans="2:26" x14ac:dyDescent="0.3">
      <c r="B70" t="s">
        <v>24</v>
      </c>
      <c r="C70" s="3" t="s">
        <v>14</v>
      </c>
      <c r="D70" s="3" t="s">
        <v>15</v>
      </c>
      <c r="E70" s="3" t="s">
        <v>16</v>
      </c>
      <c r="F70" s="3" t="s">
        <v>14</v>
      </c>
      <c r="G70" s="3" t="s">
        <v>15</v>
      </c>
      <c r="H70" s="3" t="s">
        <v>16</v>
      </c>
      <c r="I70" s="3" t="s">
        <v>14</v>
      </c>
      <c r="J70" s="3" t="s">
        <v>15</v>
      </c>
      <c r="K70" s="3" t="s">
        <v>16</v>
      </c>
      <c r="O70" s="12" t="s">
        <v>25</v>
      </c>
      <c r="P70" s="11">
        <f t="shared" ref="P70:Z70" ca="1" si="32">INDIRECT(ADDRESS($N12+P$4,9))</f>
        <v>0.59859154929577463</v>
      </c>
      <c r="Q70" s="11">
        <f t="shared" ca="1" si="32"/>
        <v>0.45544554455445546</v>
      </c>
      <c r="R70" s="11">
        <f t="shared" ca="1" si="32"/>
        <v>0.45977011494252873</v>
      </c>
      <c r="S70" s="11">
        <f t="shared" ca="1" si="32"/>
        <v>0.50735294117647056</v>
      </c>
      <c r="T70" s="11">
        <f t="shared" ca="1" si="32"/>
        <v>0.60330578512396693</v>
      </c>
      <c r="U70" s="11">
        <f t="shared" ca="1" si="32"/>
        <v>0.63758389261744963</v>
      </c>
      <c r="V70" s="11">
        <f t="shared" ca="1" si="32"/>
        <v>0.57999999999999996</v>
      </c>
      <c r="W70" s="11">
        <f t="shared" ca="1" si="32"/>
        <v>0.67375886524822692</v>
      </c>
      <c r="X70" s="11">
        <f t="shared" ca="1" si="32"/>
        <v>0.48</v>
      </c>
      <c r="Y70" s="11">
        <f t="shared" ca="1" si="32"/>
        <v>0.48780487804878048</v>
      </c>
      <c r="Z70" s="11">
        <f t="shared" ca="1" si="32"/>
        <v>0.51219512195121952</v>
      </c>
    </row>
    <row r="71" spans="2:26" x14ac:dyDescent="0.3">
      <c r="B71" s="6">
        <v>2008</v>
      </c>
      <c r="C71" s="4">
        <v>0.13958162744248748</v>
      </c>
      <c r="D71" s="4">
        <v>0.12397826348074603</v>
      </c>
      <c r="E71" s="4">
        <v>0.12467097942442185</v>
      </c>
      <c r="F71" s="5">
        <v>65</v>
      </c>
      <c r="G71" s="5">
        <v>67</v>
      </c>
      <c r="H71" s="5">
        <v>71</v>
      </c>
      <c r="I71" s="4">
        <v>0.81538461538461537</v>
      </c>
      <c r="J71" s="4">
        <v>0.77611940298507465</v>
      </c>
      <c r="K71" s="4">
        <v>0.78873239436619713</v>
      </c>
      <c r="O71" s="12" t="s">
        <v>26</v>
      </c>
      <c r="P71" s="11">
        <f t="shared" ref="P71:Z71" ca="1" si="33">INDIRECT(ADDRESS($N13+P$4,9))</f>
        <v>0.6216216216216216</v>
      </c>
      <c r="Q71" s="11">
        <f t="shared" ca="1" si="33"/>
        <v>0.44086021505376344</v>
      </c>
      <c r="R71" s="11">
        <f t="shared" ca="1" si="33"/>
        <v>0.3707865168539326</v>
      </c>
      <c r="S71" s="11">
        <f t="shared" ca="1" si="33"/>
        <v>0.5</v>
      </c>
      <c r="T71" s="11">
        <f t="shared" ca="1" si="33"/>
        <v>0.54285714285714282</v>
      </c>
      <c r="U71" s="11">
        <f t="shared" ca="1" si="33"/>
        <v>0.63043478260869568</v>
      </c>
      <c r="V71" s="11">
        <f t="shared" ca="1" si="33"/>
        <v>0.53543307086614178</v>
      </c>
      <c r="W71" s="11">
        <f t="shared" ca="1" si="33"/>
        <v>0.62580645161290327</v>
      </c>
      <c r="X71" s="11">
        <f t="shared" ca="1" si="33"/>
        <v>0.38392857142857145</v>
      </c>
      <c r="Y71" s="11">
        <f t="shared" ca="1" si="33"/>
        <v>0.35384615384615387</v>
      </c>
      <c r="Z71" s="11">
        <f t="shared" ca="1" si="33"/>
        <v>0.46511627906976744</v>
      </c>
    </row>
    <row r="72" spans="2:26" x14ac:dyDescent="0.3">
      <c r="B72" s="6">
        <v>2009</v>
      </c>
      <c r="C72" s="4">
        <v>4.9104852466965943E-2</v>
      </c>
      <c r="D72" s="4">
        <v>5.0834094421676745E-2</v>
      </c>
      <c r="E72" s="4">
        <v>2.2942800853910095E-2</v>
      </c>
      <c r="F72" s="5">
        <v>37</v>
      </c>
      <c r="G72" s="5">
        <v>20</v>
      </c>
      <c r="H72" s="5">
        <v>17</v>
      </c>
      <c r="I72" s="4">
        <v>0.64864864864864868</v>
      </c>
      <c r="J72" s="4">
        <v>0.7</v>
      </c>
      <c r="K72" s="4">
        <v>0.52941176470588236</v>
      </c>
      <c r="O72" s="12" t="s">
        <v>33</v>
      </c>
      <c r="P72" s="10"/>
      <c r="R72" s="6"/>
      <c r="S72" s="6"/>
    </row>
    <row r="73" spans="2:26" x14ac:dyDescent="0.3">
      <c r="B73" s="6">
        <v>2010</v>
      </c>
      <c r="C73" s="4">
        <v>-6.8492019824412109E-3</v>
      </c>
      <c r="D73" s="4">
        <v>8.0885935897234695E-3</v>
      </c>
      <c r="E73" s="4">
        <v>-8.0229956810984326E-4</v>
      </c>
      <c r="F73" s="5">
        <v>41</v>
      </c>
      <c r="G73" s="5">
        <v>23</v>
      </c>
      <c r="H73" s="5">
        <v>8</v>
      </c>
      <c r="I73" s="4">
        <v>0.43902439024390244</v>
      </c>
      <c r="J73" s="4">
        <v>0.39130434782608697</v>
      </c>
      <c r="K73" s="4">
        <v>0.375</v>
      </c>
      <c r="O73" s="12" t="s">
        <v>13</v>
      </c>
      <c r="P73" s="11">
        <f ca="1">INDIRECT(ADDRESS($N6+P$4,10))</f>
        <v>0.61728395061728392</v>
      </c>
      <c r="Q73" s="11">
        <f t="shared" ref="Q73:Z73" ca="1" si="34">INDIRECT(ADDRESS($N6+Q$4,10))</f>
        <v>0.55555555555555558</v>
      </c>
      <c r="R73" s="11">
        <f t="shared" ca="1" si="34"/>
        <v>0.375</v>
      </c>
      <c r="S73" s="11">
        <f t="shared" ca="1" si="34"/>
        <v>0.56756756756756754</v>
      </c>
      <c r="T73" s="11">
        <f t="shared" ca="1" si="34"/>
        <v>0.59649122807017541</v>
      </c>
      <c r="U73" s="11">
        <f t="shared" ca="1" si="34"/>
        <v>0.59541984732824427</v>
      </c>
      <c r="V73" s="11">
        <f t="shared" ca="1" si="34"/>
        <v>0.55263157894736847</v>
      </c>
      <c r="W73" s="11">
        <f t="shared" ca="1" si="34"/>
        <v>0.69892473118279574</v>
      </c>
      <c r="X73" s="11">
        <f t="shared" ca="1" si="34"/>
        <v>0.39285714285714285</v>
      </c>
      <c r="Y73" s="11">
        <f t="shared" ca="1" si="34"/>
        <v>0.6</v>
      </c>
      <c r="Z73" s="11">
        <f t="shared" ca="1" si="34"/>
        <v>0.5714285714285714</v>
      </c>
    </row>
    <row r="74" spans="2:26" x14ac:dyDescent="0.3">
      <c r="B74" s="6">
        <v>2011</v>
      </c>
      <c r="C74" s="4">
        <v>0.10496461152807535</v>
      </c>
      <c r="D74" s="4">
        <v>0.10799755762086227</v>
      </c>
      <c r="E74" s="4">
        <v>9.9375951643040805E-2</v>
      </c>
      <c r="F74" s="5">
        <v>58</v>
      </c>
      <c r="G74" s="5">
        <v>51</v>
      </c>
      <c r="H74" s="5">
        <v>55</v>
      </c>
      <c r="I74" s="4">
        <v>0.68965517241379315</v>
      </c>
      <c r="J74" s="4">
        <v>0.68627450980392157</v>
      </c>
      <c r="K74" s="4">
        <v>0.65454545454545454</v>
      </c>
      <c r="O74" s="12" t="s">
        <v>17</v>
      </c>
      <c r="P74" s="11">
        <f t="shared" ref="P74:Z74" ca="1" si="35">INDIRECT(ADDRESS($N7+P$4,10))</f>
        <v>0.6875</v>
      </c>
      <c r="Q74" s="11">
        <f t="shared" ca="1" si="35"/>
        <v>0.50704225352112675</v>
      </c>
      <c r="R74" s="11">
        <f t="shared" ca="1" si="35"/>
        <v>0.38805970149253732</v>
      </c>
      <c r="S74" s="11">
        <f t="shared" ca="1" si="35"/>
        <v>0.55405405405405406</v>
      </c>
      <c r="T74" s="11">
        <f t="shared" ca="1" si="35"/>
        <v>0.61643835616438358</v>
      </c>
      <c r="U74" s="11">
        <f t="shared" ca="1" si="35"/>
        <v>0.63013698630136983</v>
      </c>
      <c r="V74" s="11">
        <f t="shared" ca="1" si="35"/>
        <v>0.58108108108108103</v>
      </c>
      <c r="W74" s="11">
        <f t="shared" ca="1" si="35"/>
        <v>0.75342465753424659</v>
      </c>
      <c r="X74" s="11">
        <f t="shared" ca="1" si="35"/>
        <v>0.57534246575342463</v>
      </c>
      <c r="Y74" s="11">
        <f t="shared" ca="1" si="35"/>
        <v>0.55223880597014929</v>
      </c>
      <c r="Z74" s="11">
        <f t="shared" ca="1" si="35"/>
        <v>0.45454545454545453</v>
      </c>
    </row>
    <row r="75" spans="2:26" x14ac:dyDescent="0.3">
      <c r="B75" s="6">
        <v>2012</v>
      </c>
      <c r="C75" s="4">
        <v>0.10212825452416507</v>
      </c>
      <c r="D75" s="4">
        <v>8.1484731262843058E-2</v>
      </c>
      <c r="E75" s="4">
        <v>7.7112826708469973E-2</v>
      </c>
      <c r="F75" s="5">
        <v>53</v>
      </c>
      <c r="G75" s="5">
        <v>38</v>
      </c>
      <c r="H75" s="5">
        <v>33</v>
      </c>
      <c r="I75" s="4">
        <v>0.75471698113207553</v>
      </c>
      <c r="J75" s="4">
        <v>0.76315789473684215</v>
      </c>
      <c r="K75" s="4">
        <v>0.78787878787878785</v>
      </c>
      <c r="O75" s="12" t="s">
        <v>18</v>
      </c>
      <c r="P75" s="11">
        <f t="shared" ref="P75:Z75" ca="1" si="36">INDIRECT(ADDRESS($N8+P$4,10))</f>
        <v>0.60526315789473684</v>
      </c>
      <c r="Q75" s="11">
        <f t="shared" ca="1" si="36"/>
        <v>0.50980392156862742</v>
      </c>
      <c r="R75" s="11">
        <f t="shared" ca="1" si="36"/>
        <v>0.35820895522388058</v>
      </c>
      <c r="S75" s="11">
        <f t="shared" ca="1" si="36"/>
        <v>0.54471544715447151</v>
      </c>
      <c r="T75" s="11">
        <f t="shared" ca="1" si="36"/>
        <v>0.51807228915662651</v>
      </c>
      <c r="U75" s="11">
        <f t="shared" ca="1" si="36"/>
        <v>0.6029411764705882</v>
      </c>
      <c r="V75" s="11">
        <f t="shared" ca="1" si="36"/>
        <v>0.53097345132743368</v>
      </c>
      <c r="W75" s="11">
        <f t="shared" ca="1" si="36"/>
        <v>0.66874999999999996</v>
      </c>
      <c r="X75" s="11">
        <f t="shared" ca="1" si="36"/>
        <v>0.43478260869565216</v>
      </c>
      <c r="Y75" s="11">
        <f t="shared" ca="1" si="36"/>
        <v>0.29032258064516131</v>
      </c>
      <c r="Z75" s="11">
        <f t="shared" ca="1" si="36"/>
        <v>0.5714285714285714</v>
      </c>
    </row>
    <row r="76" spans="2:26" x14ac:dyDescent="0.3">
      <c r="B76" s="6">
        <v>2013</v>
      </c>
      <c r="C76" s="4">
        <v>0.11853613558521303</v>
      </c>
      <c r="D76" s="4">
        <v>0.10895952589093727</v>
      </c>
      <c r="E76" s="4">
        <v>0.10374447360276706</v>
      </c>
      <c r="F76" s="5">
        <v>60</v>
      </c>
      <c r="G76" s="5">
        <v>55</v>
      </c>
      <c r="H76" s="5">
        <v>56</v>
      </c>
      <c r="I76" s="4">
        <v>0.7</v>
      </c>
      <c r="J76" s="4">
        <v>0.69090909090909092</v>
      </c>
      <c r="K76" s="4">
        <v>0.7142857142857143</v>
      </c>
      <c r="O76" s="12" t="s">
        <v>19</v>
      </c>
      <c r="P76" s="11">
        <f t="shared" ref="P76:Z76" ca="1" si="37">INDIRECT(ADDRESS($N9+P$4,10))</f>
        <v>0.60818713450292394</v>
      </c>
      <c r="Q76" s="11">
        <f t="shared" ca="1" si="37"/>
        <v>0.55000000000000004</v>
      </c>
      <c r="R76" s="11">
        <f t="shared" ca="1" si="37"/>
        <v>0.36842105263157893</v>
      </c>
      <c r="S76" s="11">
        <f t="shared" ca="1" si="37"/>
        <v>0.55555555555555558</v>
      </c>
      <c r="T76" s="11">
        <f t="shared" ca="1" si="37"/>
        <v>0.58823529411764708</v>
      </c>
      <c r="U76" s="11">
        <f t="shared" ca="1" si="37"/>
        <v>0.60431654676258995</v>
      </c>
      <c r="V76" s="11">
        <f t="shared" ca="1" si="37"/>
        <v>0.53636363636363638</v>
      </c>
      <c r="W76" s="11">
        <f t="shared" ca="1" si="37"/>
        <v>0.67105263157894735</v>
      </c>
      <c r="X76" s="11">
        <f t="shared" ca="1" si="37"/>
        <v>0.38372093023255816</v>
      </c>
      <c r="Y76" s="11">
        <f t="shared" ca="1" si="37"/>
        <v>0.33333333333333331</v>
      </c>
      <c r="Z76" s="11">
        <f t="shared" ca="1" si="37"/>
        <v>0.55555555555555558</v>
      </c>
    </row>
    <row r="77" spans="2:26" x14ac:dyDescent="0.3">
      <c r="B77" s="6">
        <v>2014</v>
      </c>
      <c r="C77" s="4">
        <v>8.0862121266932485E-2</v>
      </c>
      <c r="D77" s="4">
        <v>7.790030763965694E-2</v>
      </c>
      <c r="E77" s="4">
        <v>6.0007040378202259E-2</v>
      </c>
      <c r="F77" s="5">
        <v>62</v>
      </c>
      <c r="G77" s="5">
        <v>49</v>
      </c>
      <c r="H77" s="5">
        <v>40</v>
      </c>
      <c r="I77" s="4">
        <v>0.72580645161290325</v>
      </c>
      <c r="J77" s="4">
        <v>0.77551020408163263</v>
      </c>
      <c r="K77" s="4">
        <v>0.77500000000000002</v>
      </c>
      <c r="O77" s="12" t="s">
        <v>23</v>
      </c>
      <c r="P77" s="11">
        <f t="shared" ref="P77:Z77" ca="1" si="38">INDIRECT(ADDRESS($N10+P$4,10))</f>
        <v>0.78512396694214881</v>
      </c>
      <c r="Q77" s="11">
        <f t="shared" ca="1" si="38"/>
        <v>0.55645161290322576</v>
      </c>
      <c r="R77" s="11">
        <f t="shared" ca="1" si="38"/>
        <v>0.51694915254237284</v>
      </c>
      <c r="S77" s="11">
        <f t="shared" ca="1" si="38"/>
        <v>0.6228070175438597</v>
      </c>
      <c r="T77" s="11">
        <f t="shared" ca="1" si="38"/>
        <v>0.77272727272727271</v>
      </c>
      <c r="U77" s="11">
        <f t="shared" ca="1" si="38"/>
        <v>0.70634920634920639</v>
      </c>
      <c r="V77" s="11">
        <f t="shared" ca="1" si="38"/>
        <v>0.6386554621848739</v>
      </c>
      <c r="W77" s="11">
        <f t="shared" ca="1" si="38"/>
        <v>0.77777777777777779</v>
      </c>
      <c r="X77" s="11">
        <f t="shared" ca="1" si="38"/>
        <v>0.59130434782608698</v>
      </c>
      <c r="Y77" s="11">
        <f t="shared" ca="1" si="38"/>
        <v>0.56302521008403361</v>
      </c>
      <c r="Z77" s="11">
        <f t="shared" ca="1" si="38"/>
        <v>0.62222222222222223</v>
      </c>
    </row>
    <row r="78" spans="2:26" x14ac:dyDescent="0.3">
      <c r="B78" s="6">
        <v>2015</v>
      </c>
      <c r="C78" s="4">
        <v>0.17878328330386783</v>
      </c>
      <c r="D78" s="4">
        <v>0.16575366498714361</v>
      </c>
      <c r="E78" s="4">
        <v>0.14972241158995181</v>
      </c>
      <c r="F78" s="5">
        <v>71</v>
      </c>
      <c r="G78" s="5">
        <v>68</v>
      </c>
      <c r="H78" s="5">
        <v>68</v>
      </c>
      <c r="I78" s="4">
        <v>0.76056338028169013</v>
      </c>
      <c r="J78" s="4">
        <v>0.75</v>
      </c>
      <c r="K78" s="4">
        <v>0.73529411764705888</v>
      </c>
      <c r="O78" s="12" t="s">
        <v>24</v>
      </c>
      <c r="P78" s="11">
        <f t="shared" ref="P78:Z78" ca="1" si="39">INDIRECT(ADDRESS($N11+P$4,10))</f>
        <v>0.77611940298507465</v>
      </c>
      <c r="Q78" s="11">
        <f t="shared" ca="1" si="39"/>
        <v>0.7</v>
      </c>
      <c r="R78" s="11">
        <f t="shared" ca="1" si="39"/>
        <v>0.39130434782608697</v>
      </c>
      <c r="S78" s="11">
        <f t="shared" ca="1" si="39"/>
        <v>0.68627450980392157</v>
      </c>
      <c r="T78" s="11">
        <f t="shared" ca="1" si="39"/>
        <v>0.76315789473684215</v>
      </c>
      <c r="U78" s="11">
        <f t="shared" ca="1" si="39"/>
        <v>0.69090909090909092</v>
      </c>
      <c r="V78" s="11">
        <f t="shared" ca="1" si="39"/>
        <v>0.77551020408163263</v>
      </c>
      <c r="W78" s="11">
        <f t="shared" ca="1" si="39"/>
        <v>0.75</v>
      </c>
      <c r="X78" s="11">
        <f t="shared" ca="1" si="39"/>
        <v>0.6428571428571429</v>
      </c>
      <c r="Y78" s="11">
        <f t="shared" ca="1" si="39"/>
        <v>0.61538461538461542</v>
      </c>
      <c r="Z78" s="11">
        <f t="shared" ca="1" si="39"/>
        <v>0.69230769230769229</v>
      </c>
    </row>
    <row r="79" spans="2:26" x14ac:dyDescent="0.3">
      <c r="B79" s="6">
        <v>2016</v>
      </c>
      <c r="C79" s="4">
        <v>9.0768379226385365E-2</v>
      </c>
      <c r="D79" s="4">
        <v>6.833995181806185E-2</v>
      </c>
      <c r="E79" s="4">
        <v>5.6235313283721666E-2</v>
      </c>
      <c r="F79" s="5">
        <v>54</v>
      </c>
      <c r="G79" s="5">
        <v>42</v>
      </c>
      <c r="H79" s="5">
        <v>37</v>
      </c>
      <c r="I79" s="4">
        <v>0.66666666666666663</v>
      </c>
      <c r="J79" s="4">
        <v>0.6428571428571429</v>
      </c>
      <c r="K79" s="4">
        <v>0.6216216216216216</v>
      </c>
      <c r="O79" s="12" t="s">
        <v>25</v>
      </c>
      <c r="P79" s="11">
        <f t="shared" ref="P79:Z79" ca="1" si="40">INDIRECT(ADDRESS($N12+P$4,10))</f>
        <v>0.62857142857142856</v>
      </c>
      <c r="Q79" s="11">
        <f t="shared" ca="1" si="40"/>
        <v>0.44545454545454544</v>
      </c>
      <c r="R79" s="11">
        <f t="shared" ca="1" si="40"/>
        <v>0.42452830188679247</v>
      </c>
      <c r="S79" s="11">
        <f t="shared" ca="1" si="40"/>
        <v>0.52592592592592591</v>
      </c>
      <c r="T79" s="11">
        <f t="shared" ca="1" si="40"/>
        <v>0.64406779661016944</v>
      </c>
      <c r="U79" s="11">
        <f t="shared" ca="1" si="40"/>
        <v>0.62758620689655176</v>
      </c>
      <c r="V79" s="11">
        <f t="shared" ca="1" si="40"/>
        <v>0.61940298507462688</v>
      </c>
      <c r="W79" s="11">
        <f t="shared" ca="1" si="40"/>
        <v>0.68707482993197277</v>
      </c>
      <c r="X79" s="11">
        <f t="shared" ca="1" si="40"/>
        <v>0.53543307086614178</v>
      </c>
      <c r="Y79" s="11">
        <f t="shared" ca="1" si="40"/>
        <v>0.51764705882352946</v>
      </c>
      <c r="Z79" s="11">
        <f t="shared" ca="1" si="40"/>
        <v>0.54545454545454541</v>
      </c>
    </row>
    <row r="80" spans="2:26" x14ac:dyDescent="0.3">
      <c r="B80" s="6">
        <v>2017</v>
      </c>
      <c r="C80" s="4">
        <v>5.6368998301951079E-2</v>
      </c>
      <c r="D80" s="4">
        <v>1.5348906057440104E-2</v>
      </c>
      <c r="E80" s="4">
        <v>6.0305149454848994E-3</v>
      </c>
      <c r="F80" s="5">
        <v>30</v>
      </c>
      <c r="G80" s="5">
        <v>13</v>
      </c>
      <c r="H80" s="5">
        <v>4</v>
      </c>
      <c r="I80" s="4">
        <v>0.73333333333333328</v>
      </c>
      <c r="J80" s="4">
        <v>0.61538461538461542</v>
      </c>
      <c r="K80" s="4">
        <v>0.75</v>
      </c>
      <c r="O80" s="12" t="s">
        <v>26</v>
      </c>
      <c r="P80" s="11">
        <f t="shared" ref="P80:Z80" ca="1" si="41">INDIRECT(ADDRESS($N13+P$4,10))</f>
        <v>0.60526315789473684</v>
      </c>
      <c r="Q80" s="11">
        <f t="shared" ca="1" si="41"/>
        <v>0.453125</v>
      </c>
      <c r="R80" s="11">
        <f t="shared" ca="1" si="41"/>
        <v>0.39473684210526316</v>
      </c>
      <c r="S80" s="11">
        <f t="shared" ca="1" si="41"/>
        <v>0.55084745762711862</v>
      </c>
      <c r="T80" s="11">
        <f t="shared" ca="1" si="41"/>
        <v>0.5617977528089888</v>
      </c>
      <c r="U80" s="11">
        <f t="shared" ca="1" si="41"/>
        <v>0.59154929577464788</v>
      </c>
      <c r="V80" s="11">
        <f t="shared" ca="1" si="41"/>
        <v>0.52542372881355937</v>
      </c>
      <c r="W80" s="11">
        <f t="shared" ca="1" si="41"/>
        <v>0.66666666666666663</v>
      </c>
      <c r="X80" s="11">
        <f t="shared" ca="1" si="41"/>
        <v>0.45161290322580644</v>
      </c>
      <c r="Y80" s="11">
        <f t="shared" ca="1" si="41"/>
        <v>0.35555555555555557</v>
      </c>
      <c r="Z80" s="11">
        <f t="shared" ca="1" si="41"/>
        <v>0.54838709677419351</v>
      </c>
    </row>
    <row r="81" spans="2:26" x14ac:dyDescent="0.3">
      <c r="B81" s="6">
        <v>2018</v>
      </c>
      <c r="C81" s="4">
        <v>0.1194009205033244</v>
      </c>
      <c r="D81" s="4">
        <v>9.0669918350242407E-2</v>
      </c>
      <c r="E81" s="4">
        <v>0.10528740432820771</v>
      </c>
      <c r="F81" s="5">
        <v>17</v>
      </c>
      <c r="G81" s="5">
        <v>13</v>
      </c>
      <c r="H81" s="5">
        <v>12</v>
      </c>
      <c r="I81" s="4">
        <v>0.70588235294117652</v>
      </c>
      <c r="J81" s="4">
        <v>0.69230769230769229</v>
      </c>
      <c r="K81" s="4">
        <v>0.75</v>
      </c>
      <c r="O81" s="12" t="s">
        <v>16</v>
      </c>
      <c r="P81" s="10"/>
      <c r="R81" s="6"/>
      <c r="S81" s="6"/>
    </row>
    <row r="82" spans="2:26" x14ac:dyDescent="0.3">
      <c r="C82" s="1">
        <v>0.02</v>
      </c>
      <c r="D82" s="1">
        <v>0.05</v>
      </c>
      <c r="E82" s="1">
        <v>0.1</v>
      </c>
      <c r="F82" s="2">
        <v>0.02</v>
      </c>
      <c r="G82" s="2">
        <v>0.05</v>
      </c>
      <c r="H82" s="2">
        <v>0.1</v>
      </c>
      <c r="I82" s="2">
        <v>0.02</v>
      </c>
      <c r="J82" s="2">
        <v>0.05</v>
      </c>
      <c r="K82" s="2">
        <v>0.1</v>
      </c>
      <c r="O82" s="12" t="s">
        <v>13</v>
      </c>
      <c r="P82" s="11">
        <f ca="1">INDIRECT(ADDRESS($N6+P$4,11))</f>
        <v>0.63157894736842102</v>
      </c>
      <c r="Q82" s="11">
        <f t="shared" ref="Q82:Z82" ca="1" si="42">INDIRECT(ADDRESS($N6+Q$4,11))</f>
        <v>0.46666666666666667</v>
      </c>
      <c r="R82" s="11">
        <f t="shared" ca="1" si="42"/>
        <v>0.3</v>
      </c>
      <c r="S82" s="11">
        <f t="shared" ca="1" si="42"/>
        <v>0.52307692307692311</v>
      </c>
      <c r="T82" s="11">
        <f t="shared" ca="1" si="42"/>
        <v>0.61290322580645162</v>
      </c>
      <c r="U82" s="11">
        <f t="shared" ca="1" si="42"/>
        <v>0.61157024793388426</v>
      </c>
      <c r="V82" s="11">
        <f t="shared" ca="1" si="42"/>
        <v>0.47368421052631576</v>
      </c>
      <c r="W82" s="11">
        <f t="shared" ca="1" si="42"/>
        <v>0.68965517241379315</v>
      </c>
      <c r="X82" s="11">
        <f t="shared" ca="1" si="42"/>
        <v>0.33333333333333331</v>
      </c>
      <c r="Y82" s="11">
        <f t="shared" ca="1" si="42"/>
        <v>0.47368421052631576</v>
      </c>
      <c r="Z82" s="11">
        <f t="shared" ca="1" si="42"/>
        <v>0.58333333333333337</v>
      </c>
    </row>
    <row r="83" spans="2:26" x14ac:dyDescent="0.3">
      <c r="B83" t="s">
        <v>25</v>
      </c>
      <c r="C83" s="3" t="s">
        <v>14</v>
      </c>
      <c r="D83" s="3" t="s">
        <v>15</v>
      </c>
      <c r="E83" s="3" t="s">
        <v>16</v>
      </c>
      <c r="F83" s="3" t="s">
        <v>14</v>
      </c>
      <c r="G83" s="3" t="s">
        <v>15</v>
      </c>
      <c r="H83" s="3" t="s">
        <v>16</v>
      </c>
      <c r="I83" s="3" t="s">
        <v>14</v>
      </c>
      <c r="J83" s="3" t="s">
        <v>15</v>
      </c>
      <c r="K83" s="3" t="s">
        <v>16</v>
      </c>
      <c r="O83" s="12" t="s">
        <v>17</v>
      </c>
      <c r="P83" s="11">
        <f t="shared" ref="P83:Z83" ca="1" si="43">INDIRECT(ADDRESS($N7+P$4,11))</f>
        <v>0.69333333333333336</v>
      </c>
      <c r="Q83" s="11">
        <f t="shared" ca="1" si="43"/>
        <v>0.44117647058823528</v>
      </c>
      <c r="R83" s="11">
        <f t="shared" ca="1" si="43"/>
        <v>0.34848484848484851</v>
      </c>
      <c r="S83" s="11">
        <f t="shared" ca="1" si="43"/>
        <v>0.52</v>
      </c>
      <c r="T83" s="11">
        <f t="shared" ca="1" si="43"/>
        <v>0.63076923076923075</v>
      </c>
      <c r="U83" s="11">
        <f t="shared" ca="1" si="43"/>
        <v>0.6029411764705882</v>
      </c>
      <c r="V83" s="11">
        <f t="shared" ca="1" si="43"/>
        <v>0.625</v>
      </c>
      <c r="W83" s="11">
        <f t="shared" ca="1" si="43"/>
        <v>0.75</v>
      </c>
      <c r="X83" s="11">
        <f t="shared" ca="1" si="43"/>
        <v>0.58571428571428574</v>
      </c>
      <c r="Y83" s="11">
        <f t="shared" ca="1" si="43"/>
        <v>0.5625</v>
      </c>
      <c r="Z83" s="11">
        <f t="shared" ca="1" si="43"/>
        <v>0.41176470588235292</v>
      </c>
    </row>
    <row r="84" spans="2:26" x14ac:dyDescent="0.3">
      <c r="B84" s="6">
        <v>2008</v>
      </c>
      <c r="C84" s="4">
        <v>0.15543782635058712</v>
      </c>
      <c r="D84" s="4">
        <v>0.17682786261360972</v>
      </c>
      <c r="E84" s="4">
        <v>0.1629247127826392</v>
      </c>
      <c r="F84" s="5">
        <v>142</v>
      </c>
      <c r="G84" s="5">
        <v>140</v>
      </c>
      <c r="H84" s="5">
        <v>135</v>
      </c>
      <c r="I84" s="4">
        <v>0.59859154929577463</v>
      </c>
      <c r="J84" s="4">
        <v>0.62857142857142856</v>
      </c>
      <c r="K84" s="4">
        <v>0.62222222222222223</v>
      </c>
      <c r="O84" s="12" t="s">
        <v>18</v>
      </c>
      <c r="P84" s="11">
        <f t="shared" ref="P84:Z84" ca="1" si="44">INDIRECT(ADDRESS($N8+P$4,11))</f>
        <v>0.62416107382550334</v>
      </c>
      <c r="Q84" s="11">
        <f t="shared" ca="1" si="44"/>
        <v>0.34375</v>
      </c>
      <c r="R84" s="11">
        <f t="shared" ca="1" si="44"/>
        <v>0.2857142857142857</v>
      </c>
      <c r="S84" s="11">
        <f t="shared" ca="1" si="44"/>
        <v>0.55462184873949583</v>
      </c>
      <c r="T84" s="11">
        <f t="shared" ca="1" si="44"/>
        <v>0.57746478873239437</v>
      </c>
      <c r="U84" s="11">
        <f t="shared" ca="1" si="44"/>
        <v>0.6058394160583942</v>
      </c>
      <c r="V84" s="11">
        <f t="shared" ca="1" si="44"/>
        <v>0.5436893203883495</v>
      </c>
      <c r="W84" s="11">
        <f t="shared" ca="1" si="44"/>
        <v>0.67073170731707321</v>
      </c>
      <c r="X84" s="11">
        <f t="shared" ca="1" si="44"/>
        <v>0.45783132530120479</v>
      </c>
      <c r="Y84" s="11">
        <f t="shared" ca="1" si="44"/>
        <v>0.26315789473684209</v>
      </c>
      <c r="Z84" s="11">
        <f t="shared" ca="1" si="44"/>
        <v>0.57692307692307687</v>
      </c>
    </row>
    <row r="85" spans="2:26" x14ac:dyDescent="0.3">
      <c r="B85" s="6">
        <v>2009</v>
      </c>
      <c r="C85" s="4">
        <v>2.4057669089071698E-2</v>
      </c>
      <c r="D85" s="4">
        <v>2.2843672347577559E-2</v>
      </c>
      <c r="E85" s="4">
        <v>4.6381643545574613E-2</v>
      </c>
      <c r="F85" s="5">
        <v>101</v>
      </c>
      <c r="G85" s="5">
        <v>110</v>
      </c>
      <c r="H85" s="5">
        <v>106</v>
      </c>
      <c r="I85" s="4">
        <v>0.45544554455445546</v>
      </c>
      <c r="J85" s="4">
        <v>0.44545454545454544</v>
      </c>
      <c r="K85" s="4">
        <v>0.53773584905660377</v>
      </c>
      <c r="O85" s="12" t="s">
        <v>19</v>
      </c>
      <c r="P85" s="11">
        <f t="shared" ref="P85:Z85" ca="1" si="45">INDIRECT(ADDRESS($N9+P$4,11))</f>
        <v>0.5977011494252874</v>
      </c>
      <c r="Q85" s="11">
        <f t="shared" ca="1" si="45"/>
        <v>0.29411764705882354</v>
      </c>
      <c r="R85" s="11">
        <f t="shared" ca="1" si="45"/>
        <v>0.36046511627906974</v>
      </c>
      <c r="S85" s="11">
        <f t="shared" ca="1" si="45"/>
        <v>0.53535353535353536</v>
      </c>
      <c r="T85" s="11">
        <f t="shared" ca="1" si="45"/>
        <v>0.59433962264150941</v>
      </c>
      <c r="U85" s="11">
        <f t="shared" ca="1" si="45"/>
        <v>0.60150375939849621</v>
      </c>
      <c r="V85" s="11">
        <f t="shared" ca="1" si="45"/>
        <v>0.53333333333333333</v>
      </c>
      <c r="W85" s="11">
        <f t="shared" ca="1" si="45"/>
        <v>0.66666666666666663</v>
      </c>
      <c r="X85" s="11">
        <f t="shared" ca="1" si="45"/>
        <v>0.42857142857142855</v>
      </c>
      <c r="Y85" s="11">
        <f t="shared" ca="1" si="45"/>
        <v>0.38235294117647056</v>
      </c>
      <c r="Z85" s="11">
        <f t="shared" ca="1" si="45"/>
        <v>0.57692307692307687</v>
      </c>
    </row>
    <row r="86" spans="2:26" x14ac:dyDescent="0.3">
      <c r="B86" s="6">
        <v>2010</v>
      </c>
      <c r="C86" s="4">
        <v>-2.2839266244187972E-2</v>
      </c>
      <c r="D86" s="4">
        <v>-2.922589898820982E-2</v>
      </c>
      <c r="E86" s="4">
        <v>-1.2960651698555981E-2</v>
      </c>
      <c r="F86" s="5">
        <v>87</v>
      </c>
      <c r="G86" s="5">
        <v>106</v>
      </c>
      <c r="H86" s="5">
        <v>109</v>
      </c>
      <c r="I86" s="4">
        <v>0.45977011494252873</v>
      </c>
      <c r="J86" s="4">
        <v>0.42452830188679247</v>
      </c>
      <c r="K86" s="4">
        <v>0.44954128440366975</v>
      </c>
      <c r="O86" s="12" t="s">
        <v>23</v>
      </c>
      <c r="P86" s="11">
        <f t="shared" ref="P86:Z86" ca="1" si="46">INDIRECT(ADDRESS($N10+P$4,11))</f>
        <v>0.63846153846153841</v>
      </c>
      <c r="Q86" s="11">
        <f t="shared" ca="1" si="46"/>
        <v>0.46478873239436619</v>
      </c>
      <c r="R86" s="11">
        <f t="shared" ca="1" si="46"/>
        <v>0.40677966101694918</v>
      </c>
      <c r="S86" s="11">
        <f t="shared" ca="1" si="46"/>
        <v>0.5304347826086957</v>
      </c>
      <c r="T86" s="11">
        <f t="shared" ca="1" si="46"/>
        <v>0.62295081967213117</v>
      </c>
      <c r="U86" s="11">
        <f t="shared" ca="1" si="46"/>
        <v>0.61111111111111116</v>
      </c>
      <c r="V86" s="11">
        <f t="shared" ca="1" si="46"/>
        <v>0.52293577981651373</v>
      </c>
      <c r="W86" s="11">
        <f t="shared" ca="1" si="46"/>
        <v>0.71296296296296291</v>
      </c>
      <c r="X86" s="11">
        <f t="shared" ca="1" si="46"/>
        <v>0.45833333333333331</v>
      </c>
      <c r="Y86" s="11">
        <f t="shared" ca="1" si="46"/>
        <v>0.48031496062992124</v>
      </c>
      <c r="Z86" s="11">
        <f t="shared" ca="1" si="46"/>
        <v>0.58620689655172409</v>
      </c>
    </row>
    <row r="87" spans="2:26" x14ac:dyDescent="0.3">
      <c r="B87" s="6">
        <v>2011</v>
      </c>
      <c r="C87" s="4">
        <v>6.0897615393926685E-2</v>
      </c>
      <c r="D87" s="4">
        <v>8.3209910250155339E-2</v>
      </c>
      <c r="E87" s="4">
        <v>0.1116967822515309</v>
      </c>
      <c r="F87" s="5">
        <v>136</v>
      </c>
      <c r="G87" s="5">
        <v>135</v>
      </c>
      <c r="H87" s="5">
        <v>131</v>
      </c>
      <c r="I87" s="4">
        <v>0.50735294117647056</v>
      </c>
      <c r="J87" s="4">
        <v>0.52592592592592591</v>
      </c>
      <c r="K87" s="4">
        <v>0.5572519083969466</v>
      </c>
      <c r="O87" s="12" t="s">
        <v>24</v>
      </c>
      <c r="P87" s="11">
        <f t="shared" ref="P87:Z87" ca="1" si="47">INDIRECT(ADDRESS($N11+P$4,11))</f>
        <v>0.78873239436619713</v>
      </c>
      <c r="Q87" s="11">
        <f t="shared" ca="1" si="47"/>
        <v>0.52941176470588236</v>
      </c>
      <c r="R87" s="11">
        <f t="shared" ca="1" si="47"/>
        <v>0.375</v>
      </c>
      <c r="S87" s="11">
        <f t="shared" ca="1" si="47"/>
        <v>0.65454545454545454</v>
      </c>
      <c r="T87" s="11">
        <f t="shared" ca="1" si="47"/>
        <v>0.78787878787878785</v>
      </c>
      <c r="U87" s="11">
        <f t="shared" ca="1" si="47"/>
        <v>0.7142857142857143</v>
      </c>
      <c r="V87" s="11">
        <f t="shared" ca="1" si="47"/>
        <v>0.77500000000000002</v>
      </c>
      <c r="W87" s="11">
        <f t="shared" ca="1" si="47"/>
        <v>0.73529411764705888</v>
      </c>
      <c r="X87" s="11">
        <f t="shared" ca="1" si="47"/>
        <v>0.6216216216216216</v>
      </c>
      <c r="Y87" s="11">
        <f t="shared" ca="1" si="47"/>
        <v>0.75</v>
      </c>
      <c r="Z87" s="11">
        <f t="shared" ca="1" si="47"/>
        <v>0.75</v>
      </c>
    </row>
    <row r="88" spans="2:26" x14ac:dyDescent="0.3">
      <c r="B88" s="6">
        <v>2012</v>
      </c>
      <c r="C88" s="4">
        <v>0.10510374456138227</v>
      </c>
      <c r="D88" s="4">
        <v>0.13337091021580227</v>
      </c>
      <c r="E88" s="4">
        <v>0.17351733130065727</v>
      </c>
      <c r="F88" s="5">
        <v>121</v>
      </c>
      <c r="G88" s="5">
        <v>118</v>
      </c>
      <c r="H88" s="5">
        <v>115</v>
      </c>
      <c r="I88" s="4">
        <v>0.60330578512396693</v>
      </c>
      <c r="J88" s="4">
        <v>0.64406779661016944</v>
      </c>
      <c r="K88" s="4">
        <v>0.68695652173913047</v>
      </c>
      <c r="O88" s="12" t="s">
        <v>25</v>
      </c>
      <c r="P88" s="11">
        <f t="shared" ref="P88:Z88" ca="1" si="48">INDIRECT(ADDRESS($N12+P$4,11))</f>
        <v>0.62222222222222223</v>
      </c>
      <c r="Q88" s="11">
        <f t="shared" ca="1" si="48"/>
        <v>0.53773584905660377</v>
      </c>
      <c r="R88" s="11">
        <f t="shared" ca="1" si="48"/>
        <v>0.44954128440366975</v>
      </c>
      <c r="S88" s="11">
        <f t="shared" ca="1" si="48"/>
        <v>0.5572519083969466</v>
      </c>
      <c r="T88" s="11">
        <f t="shared" ca="1" si="48"/>
        <v>0.68695652173913047</v>
      </c>
      <c r="U88" s="11">
        <f t="shared" ca="1" si="48"/>
        <v>0.65151515151515149</v>
      </c>
      <c r="V88" s="11">
        <f t="shared" ca="1" si="48"/>
        <v>0.61654135338345861</v>
      </c>
      <c r="W88" s="11">
        <f t="shared" ca="1" si="48"/>
        <v>0.68211920529801329</v>
      </c>
      <c r="X88" s="11">
        <f t="shared" ca="1" si="48"/>
        <v>0.54477611940298509</v>
      </c>
      <c r="Y88" s="11">
        <f t="shared" ca="1" si="48"/>
        <v>0.5679012345679012</v>
      </c>
      <c r="Z88" s="11">
        <f t="shared" ca="1" si="48"/>
        <v>0.55319148936170215</v>
      </c>
    </row>
    <row r="89" spans="2:26" x14ac:dyDescent="0.3">
      <c r="B89" s="6">
        <v>2013</v>
      </c>
      <c r="C89" s="4">
        <v>0.2013794860435405</v>
      </c>
      <c r="D89" s="4">
        <v>0.17204487151337111</v>
      </c>
      <c r="E89" s="4">
        <v>0.19187769338875826</v>
      </c>
      <c r="F89" s="5">
        <v>149</v>
      </c>
      <c r="G89" s="5">
        <v>145</v>
      </c>
      <c r="H89" s="5">
        <v>132</v>
      </c>
      <c r="I89" s="4">
        <v>0.63758389261744963</v>
      </c>
      <c r="J89" s="4">
        <v>0.62758620689655176</v>
      </c>
      <c r="K89" s="4">
        <v>0.65151515151515149</v>
      </c>
      <c r="O89" s="12" t="s">
        <v>26</v>
      </c>
      <c r="P89" s="11">
        <f t="shared" ref="P89:Z89" ca="1" si="49">INDIRECT(ADDRESS($N13+P$4,11))</f>
        <v>0.60130718954248363</v>
      </c>
      <c r="Q89" s="11">
        <f t="shared" ca="1" si="49"/>
        <v>0.41935483870967744</v>
      </c>
      <c r="R89" s="11">
        <f t="shared" ca="1" si="49"/>
        <v>0.32758620689655171</v>
      </c>
      <c r="S89" s="11">
        <f t="shared" ca="1" si="49"/>
        <v>0.55462184873949583</v>
      </c>
      <c r="T89" s="11">
        <f t="shared" ca="1" si="49"/>
        <v>0.56666666666666665</v>
      </c>
      <c r="U89" s="11">
        <f t="shared" ca="1" si="49"/>
        <v>0.61313868613138689</v>
      </c>
      <c r="V89" s="11">
        <f t="shared" ca="1" si="49"/>
        <v>0.55263157894736847</v>
      </c>
      <c r="W89" s="11">
        <f t="shared" ca="1" si="49"/>
        <v>0.67073170731707321</v>
      </c>
      <c r="X89" s="11">
        <f t="shared" ca="1" si="49"/>
        <v>0.45054945054945056</v>
      </c>
      <c r="Y89" s="11">
        <f t="shared" ca="1" si="49"/>
        <v>0.30769230769230771</v>
      </c>
      <c r="Z89" s="11">
        <f t="shared" ca="1" si="49"/>
        <v>0.59259259259259256</v>
      </c>
    </row>
    <row r="90" spans="2:26" x14ac:dyDescent="0.3">
      <c r="B90" s="6">
        <v>2014</v>
      </c>
      <c r="C90" s="4">
        <v>4.2465800821622102E-2</v>
      </c>
      <c r="D90" s="4">
        <v>8.0276781522297114E-2</v>
      </c>
      <c r="E90" s="4">
        <v>7.9112342081736342E-2</v>
      </c>
      <c r="F90" s="5">
        <v>100</v>
      </c>
      <c r="G90" s="5">
        <v>134</v>
      </c>
      <c r="H90" s="5">
        <v>133</v>
      </c>
      <c r="I90" s="4">
        <v>0.57999999999999996</v>
      </c>
      <c r="J90" s="4">
        <v>0.61940298507462688</v>
      </c>
      <c r="K90" s="4">
        <v>0.61654135338345861</v>
      </c>
    </row>
    <row r="91" spans="2:26" x14ac:dyDescent="0.3">
      <c r="B91" s="6">
        <v>2015</v>
      </c>
      <c r="C91" s="4">
        <v>0.22063568720150495</v>
      </c>
      <c r="D91" s="4">
        <v>0.22965432936508812</v>
      </c>
      <c r="E91" s="4">
        <v>0.2417971726831587</v>
      </c>
      <c r="F91" s="5">
        <v>141</v>
      </c>
      <c r="G91" s="5">
        <v>147</v>
      </c>
      <c r="H91" s="5">
        <v>151</v>
      </c>
      <c r="I91" s="4">
        <v>0.67375886524822692</v>
      </c>
      <c r="J91" s="4">
        <v>0.68707482993197277</v>
      </c>
      <c r="K91" s="4">
        <v>0.68211920529801329</v>
      </c>
    </row>
    <row r="92" spans="2:26" x14ac:dyDescent="0.3">
      <c r="B92" s="6">
        <v>2016</v>
      </c>
      <c r="C92" s="4">
        <v>7.1273703311923065E-2</v>
      </c>
      <c r="D92" s="4">
        <v>9.6276699590005288E-2</v>
      </c>
      <c r="E92" s="4">
        <v>0.11031898383489813</v>
      </c>
      <c r="F92" s="5">
        <v>125</v>
      </c>
      <c r="G92" s="5">
        <v>127</v>
      </c>
      <c r="H92" s="5">
        <v>134</v>
      </c>
      <c r="I92" s="4">
        <v>0.48</v>
      </c>
      <c r="J92" s="4">
        <v>0.53543307086614178</v>
      </c>
      <c r="K92" s="4">
        <v>0.54477611940298509</v>
      </c>
    </row>
    <row r="93" spans="2:26" x14ac:dyDescent="0.3">
      <c r="B93" s="6">
        <v>2017</v>
      </c>
      <c r="C93" s="4">
        <v>3.0411047383144041E-2</v>
      </c>
      <c r="D93" s="4">
        <v>5.8778275234062871E-2</v>
      </c>
      <c r="E93" s="4">
        <v>6.7680686524566713E-2</v>
      </c>
      <c r="F93" s="5">
        <v>82</v>
      </c>
      <c r="G93" s="5">
        <v>85</v>
      </c>
      <c r="H93" s="5">
        <v>81</v>
      </c>
      <c r="I93" s="4">
        <v>0.48780487804878048</v>
      </c>
      <c r="J93" s="4">
        <v>0.51764705882352946</v>
      </c>
      <c r="K93" s="4">
        <v>0.5679012345679012</v>
      </c>
    </row>
    <row r="94" spans="2:26" x14ac:dyDescent="0.3">
      <c r="B94" s="6">
        <v>2018</v>
      </c>
      <c r="C94" s="4">
        <v>5.3525029984608175E-2</v>
      </c>
      <c r="D94" s="4">
        <v>0.1227188708638709</v>
      </c>
      <c r="E94" s="4">
        <v>0.18028528174568281</v>
      </c>
      <c r="F94" s="5">
        <v>41</v>
      </c>
      <c r="G94" s="5">
        <v>44</v>
      </c>
      <c r="H94" s="5">
        <v>47</v>
      </c>
      <c r="I94" s="4">
        <v>0.51219512195121952</v>
      </c>
      <c r="J94" s="4">
        <v>0.54545454545454541</v>
      </c>
      <c r="K94" s="4">
        <v>0.55319148936170215</v>
      </c>
    </row>
    <row r="95" spans="2:26" x14ac:dyDescent="0.3">
      <c r="C95" s="1">
        <v>14</v>
      </c>
      <c r="D95" s="1">
        <v>28</v>
      </c>
      <c r="E95" s="1">
        <v>42</v>
      </c>
      <c r="F95" s="2">
        <v>14</v>
      </c>
      <c r="G95" s="2">
        <v>28</v>
      </c>
      <c r="H95" s="2">
        <v>42</v>
      </c>
      <c r="I95" s="2">
        <v>14</v>
      </c>
      <c r="J95" s="2">
        <v>28</v>
      </c>
      <c r="K95" s="2">
        <v>42</v>
      </c>
    </row>
    <row r="96" spans="2:26" x14ac:dyDescent="0.3">
      <c r="B96" t="s">
        <v>26</v>
      </c>
      <c r="C96" s="3" t="s">
        <v>14</v>
      </c>
      <c r="D96" s="3" t="s">
        <v>15</v>
      </c>
      <c r="E96" s="3" t="s">
        <v>16</v>
      </c>
      <c r="F96" s="3" t="s">
        <v>14</v>
      </c>
      <c r="G96" s="3" t="s">
        <v>15</v>
      </c>
      <c r="H96" s="3" t="s">
        <v>16</v>
      </c>
      <c r="I96" s="3" t="s">
        <v>14</v>
      </c>
      <c r="J96" s="3" t="s">
        <v>15</v>
      </c>
      <c r="K96" s="3" t="s">
        <v>16</v>
      </c>
    </row>
    <row r="97" spans="2:11" x14ac:dyDescent="0.3">
      <c r="B97" s="6">
        <v>2008</v>
      </c>
      <c r="C97" s="4">
        <v>0.13005165399768481</v>
      </c>
      <c r="D97" s="4">
        <v>0.10240316052560727</v>
      </c>
      <c r="E97" s="4">
        <v>9.2986546133737358E-2</v>
      </c>
      <c r="F97" s="5">
        <v>148</v>
      </c>
      <c r="G97" s="5">
        <v>152</v>
      </c>
      <c r="H97" s="5">
        <v>153</v>
      </c>
      <c r="I97" s="4">
        <v>0.6216216216216216</v>
      </c>
      <c r="J97" s="4">
        <v>0.60526315789473684</v>
      </c>
      <c r="K97" s="4">
        <v>0.60130718954248363</v>
      </c>
    </row>
    <row r="98" spans="2:11" x14ac:dyDescent="0.3">
      <c r="B98" s="6">
        <v>2009</v>
      </c>
      <c r="C98" s="4">
        <v>2.8386725796325507E-4</v>
      </c>
      <c r="D98" s="4">
        <v>-9.7298572701686181E-3</v>
      </c>
      <c r="E98" s="4">
        <v>-1.8696435632888142E-2</v>
      </c>
      <c r="F98" s="5">
        <v>93</v>
      </c>
      <c r="G98" s="5">
        <v>64</v>
      </c>
      <c r="H98" s="5">
        <v>31</v>
      </c>
      <c r="I98" s="4">
        <v>0.44086021505376344</v>
      </c>
      <c r="J98" s="4">
        <v>0.453125</v>
      </c>
      <c r="K98" s="4">
        <v>0.41935483870967744</v>
      </c>
    </row>
    <row r="99" spans="2:11" x14ac:dyDescent="0.3">
      <c r="B99" s="6">
        <v>2010</v>
      </c>
      <c r="C99" s="4">
        <v>-4.1381441563409394E-2</v>
      </c>
      <c r="D99" s="4">
        <v>-2.4371665252995833E-2</v>
      </c>
      <c r="E99" s="4">
        <v>-3.5540227127324964E-2</v>
      </c>
      <c r="F99" s="5">
        <v>89</v>
      </c>
      <c r="G99" s="5">
        <v>76</v>
      </c>
      <c r="H99" s="5">
        <v>58</v>
      </c>
      <c r="I99" s="4">
        <v>0.3707865168539326</v>
      </c>
      <c r="J99" s="4">
        <v>0.39473684210526316</v>
      </c>
      <c r="K99" s="4">
        <v>0.32758620689655171</v>
      </c>
    </row>
    <row r="100" spans="2:11" x14ac:dyDescent="0.3">
      <c r="B100" s="6">
        <v>2011</v>
      </c>
      <c r="C100" s="4">
        <v>3.7517879173057933E-2</v>
      </c>
      <c r="D100" s="4">
        <v>3.9719099478653153E-2</v>
      </c>
      <c r="E100" s="4">
        <v>4.4042907311246715E-2</v>
      </c>
      <c r="F100" s="5">
        <v>130</v>
      </c>
      <c r="G100" s="5">
        <v>118</v>
      </c>
      <c r="H100" s="5">
        <v>119</v>
      </c>
      <c r="I100" s="4">
        <v>0.5</v>
      </c>
      <c r="J100" s="4">
        <v>0.55084745762711862</v>
      </c>
      <c r="K100" s="4">
        <v>0.55462184873949583</v>
      </c>
    </row>
    <row r="101" spans="2:11" x14ac:dyDescent="0.3">
      <c r="B101" s="6">
        <v>2012</v>
      </c>
      <c r="C101" s="4">
        <v>3.4272045092504699E-2</v>
      </c>
      <c r="D101" s="4">
        <v>4.8126853500780831E-2</v>
      </c>
      <c r="E101" s="4">
        <v>6.9195220229727239E-2</v>
      </c>
      <c r="F101" s="5">
        <v>105</v>
      </c>
      <c r="G101" s="5">
        <v>89</v>
      </c>
      <c r="H101" s="5">
        <v>90</v>
      </c>
      <c r="I101" s="4">
        <v>0.54285714285714282</v>
      </c>
      <c r="J101" s="4">
        <v>0.5617977528089888</v>
      </c>
      <c r="K101" s="4">
        <v>0.56666666666666665</v>
      </c>
    </row>
    <row r="102" spans="2:11" x14ac:dyDescent="0.3">
      <c r="B102" s="6">
        <v>2013</v>
      </c>
      <c r="C102" s="4">
        <v>0.15440451624063711</v>
      </c>
      <c r="D102" s="4">
        <v>0.14043758048052823</v>
      </c>
      <c r="E102" s="4">
        <v>0.14989690165934633</v>
      </c>
      <c r="F102" s="5">
        <v>138</v>
      </c>
      <c r="G102" s="5">
        <v>142</v>
      </c>
      <c r="H102" s="5">
        <v>137</v>
      </c>
      <c r="I102" s="4">
        <v>0.63043478260869568</v>
      </c>
      <c r="J102" s="4">
        <v>0.59154929577464788</v>
      </c>
      <c r="K102" s="4">
        <v>0.61313868613138689</v>
      </c>
    </row>
    <row r="103" spans="2:11" x14ac:dyDescent="0.3">
      <c r="B103" s="6">
        <v>2014</v>
      </c>
      <c r="C103" s="4">
        <v>1.0358817765271144E-2</v>
      </c>
      <c r="D103" s="4">
        <v>7.5650273584528804E-3</v>
      </c>
      <c r="E103" s="4">
        <v>2.0647315077663597E-2</v>
      </c>
      <c r="F103" s="5">
        <v>127</v>
      </c>
      <c r="G103" s="5">
        <v>118</v>
      </c>
      <c r="H103" s="5">
        <v>114</v>
      </c>
      <c r="I103" s="4">
        <v>0.53543307086614178</v>
      </c>
      <c r="J103" s="4">
        <v>0.52542372881355937</v>
      </c>
      <c r="K103" s="4">
        <v>0.55263157894736847</v>
      </c>
    </row>
    <row r="104" spans="2:11" x14ac:dyDescent="0.3">
      <c r="B104" s="6">
        <v>2015</v>
      </c>
      <c r="C104" s="4">
        <v>0.15603546386865852</v>
      </c>
      <c r="D104" s="4">
        <v>0.21000370264975587</v>
      </c>
      <c r="E104" s="4">
        <v>0.21443763420307249</v>
      </c>
      <c r="F104" s="5">
        <v>155</v>
      </c>
      <c r="G104" s="5">
        <v>159</v>
      </c>
      <c r="H104" s="5">
        <v>164</v>
      </c>
      <c r="I104" s="4">
        <v>0.62580645161290327</v>
      </c>
      <c r="J104" s="4">
        <v>0.66666666666666663</v>
      </c>
      <c r="K104" s="4">
        <v>0.67073170731707321</v>
      </c>
    </row>
    <row r="105" spans="2:11" x14ac:dyDescent="0.3">
      <c r="B105" s="6">
        <v>2016</v>
      </c>
      <c r="C105" s="4">
        <v>-3.3141738646773611E-2</v>
      </c>
      <c r="D105" s="4">
        <v>8.2783360591047739E-3</v>
      </c>
      <c r="E105" s="4">
        <v>1.7386553087716416E-2</v>
      </c>
      <c r="F105" s="5">
        <v>112</v>
      </c>
      <c r="G105" s="5">
        <v>93</v>
      </c>
      <c r="H105" s="5">
        <v>91</v>
      </c>
      <c r="I105" s="4">
        <v>0.38392857142857145</v>
      </c>
      <c r="J105" s="4">
        <v>0.45161290322580644</v>
      </c>
      <c r="K105" s="4">
        <v>0.45054945054945056</v>
      </c>
    </row>
    <row r="106" spans="2:11" x14ac:dyDescent="0.3">
      <c r="B106" s="6">
        <v>2017</v>
      </c>
      <c r="C106" s="4">
        <v>-3.7473387611124842E-2</v>
      </c>
      <c r="D106" s="4">
        <v>-2.8847985690128919E-2</v>
      </c>
      <c r="E106" s="4">
        <v>-2.7767922585593241E-2</v>
      </c>
      <c r="F106" s="5">
        <v>65</v>
      </c>
      <c r="G106" s="5">
        <v>45</v>
      </c>
      <c r="H106" s="5">
        <v>26</v>
      </c>
      <c r="I106" s="4">
        <v>0.35384615384615387</v>
      </c>
      <c r="J106" s="4">
        <v>0.35555555555555557</v>
      </c>
      <c r="K106" s="4">
        <v>0.30769230769230771</v>
      </c>
    </row>
    <row r="107" spans="2:11" x14ac:dyDescent="0.3">
      <c r="B107" s="6">
        <v>2018</v>
      </c>
      <c r="C107" s="4">
        <v>2.9313918339176626E-2</v>
      </c>
      <c r="D107" s="4">
        <v>9.5075005703760818E-2</v>
      </c>
      <c r="E107" s="4">
        <v>0.12366188729129557</v>
      </c>
      <c r="F107" s="5">
        <v>43</v>
      </c>
      <c r="G107" s="5">
        <v>31</v>
      </c>
      <c r="H107" s="5">
        <v>27</v>
      </c>
      <c r="I107" s="4">
        <v>0.46511627906976744</v>
      </c>
      <c r="J107" s="4">
        <v>0.54838709677419351</v>
      </c>
      <c r="K107" s="4">
        <v>0.59259259259259256</v>
      </c>
    </row>
  </sheetData>
  <mergeCells count="6">
    <mergeCell ref="P62:Z62"/>
    <mergeCell ref="C3:E3"/>
    <mergeCell ref="F3:H3"/>
    <mergeCell ref="I3:K3"/>
    <mergeCell ref="P3:Z3"/>
    <mergeCell ref="P33:Z33"/>
  </mergeCells>
  <conditionalFormatting sqref="C6:C16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{ABD46390-B4C4-46B9-83C0-B3781FC2D5B4}</x14:id>
        </ext>
      </extLst>
    </cfRule>
  </conditionalFormatting>
  <conditionalFormatting sqref="D6:E16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{4F2FE6AD-3696-4323-941C-4AD2C9555290}</x14:id>
        </ext>
      </extLst>
    </cfRule>
  </conditionalFormatting>
  <conditionalFormatting sqref="I6:I16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{8059853D-DE14-482A-820F-00D730084AA4}</x14:id>
        </ext>
      </extLst>
    </cfRule>
  </conditionalFormatting>
  <conditionalFormatting sqref="J6:K16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{2941259C-E84C-4C80-9C6E-D5918736CF25}</x14:id>
        </ext>
      </extLst>
    </cfRule>
  </conditionalFormatting>
  <conditionalFormatting sqref="C19:C29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{1E21FBD6-05B4-4111-830C-A5D8A7236DD0}</x14:id>
        </ext>
      </extLst>
    </cfRule>
  </conditionalFormatting>
  <conditionalFormatting sqref="D19:E29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{032EA055-554B-4417-B94B-BF1EDBF94650}</x14:id>
        </ext>
      </extLst>
    </cfRule>
  </conditionalFormatting>
  <conditionalFormatting sqref="I19:I29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{ABEA1B00-A188-4FE8-82D3-F46D1D71756E}</x14:id>
        </ext>
      </extLst>
    </cfRule>
  </conditionalFormatting>
  <conditionalFormatting sqref="J19:K29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{48CE7619-7FE1-4F3E-973C-5A44020D9A98}</x14:id>
        </ext>
      </extLst>
    </cfRule>
  </conditionalFormatting>
  <conditionalFormatting sqref="C32:C42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{867B5957-66BC-4C2C-99F0-E517E255BF7C}</x14:id>
        </ext>
      </extLst>
    </cfRule>
  </conditionalFormatting>
  <conditionalFormatting sqref="D32:E42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{94443DA9-C865-41A4-8799-5B00BE3A8A98}</x14:id>
        </ext>
      </extLst>
    </cfRule>
  </conditionalFormatting>
  <conditionalFormatting sqref="I32:I42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{82FD30FC-B1B7-4AAF-A48F-F803F9AD126C}</x14:id>
        </ext>
      </extLst>
    </cfRule>
  </conditionalFormatting>
  <conditionalFormatting sqref="J32:K42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{78E906D8-5488-4336-BF39-9A61B4E9CF8C}</x14:id>
        </ext>
      </extLst>
    </cfRule>
  </conditionalFormatting>
  <conditionalFormatting sqref="C45:C55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{218503B1-5284-4AEC-8F34-A64287A0ED3E}</x14:id>
        </ext>
      </extLst>
    </cfRule>
  </conditionalFormatting>
  <conditionalFormatting sqref="D45:E55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{57AD6EA3-DDD8-4217-B22F-AE9B37630AE6}</x14:id>
        </ext>
      </extLst>
    </cfRule>
  </conditionalFormatting>
  <conditionalFormatting sqref="I45:I55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{ABCC7A52-24A6-4D2D-A187-E4E5B6CBDDFA}</x14:id>
        </ext>
      </extLst>
    </cfRule>
  </conditionalFormatting>
  <conditionalFormatting sqref="J45:K55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{44693872-DA03-4933-B878-4ECB6BF98A6F}</x14:id>
        </ext>
      </extLst>
    </cfRule>
  </conditionalFormatting>
  <conditionalFormatting sqref="C58:C68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{23F574AD-31B4-4985-839D-F9E6BB23C92E}</x14:id>
        </ext>
      </extLst>
    </cfRule>
  </conditionalFormatting>
  <conditionalFormatting sqref="D58:E68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{3F71B75C-AFC1-4CDA-AA5A-BF656A7AEA0C}</x14:id>
        </ext>
      </extLst>
    </cfRule>
  </conditionalFormatting>
  <conditionalFormatting sqref="I58:I68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{F9C0BB03-1000-4E93-9DC5-CEDDDF6FD12A}</x14:id>
        </ext>
      </extLst>
    </cfRule>
  </conditionalFormatting>
  <conditionalFormatting sqref="J58:K68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{F8E0655E-4971-425E-8E32-A681A6676745}</x14:id>
        </ext>
      </extLst>
    </cfRule>
  </conditionalFormatting>
  <conditionalFormatting sqref="C71:C81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{55114156-B618-4D8F-8F25-1ABA0AB898DE}</x14:id>
        </ext>
      </extLst>
    </cfRule>
  </conditionalFormatting>
  <conditionalFormatting sqref="D71:E81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{654C7C5D-9420-495F-BB0A-175547569432}</x14:id>
        </ext>
      </extLst>
    </cfRule>
  </conditionalFormatting>
  <conditionalFormatting sqref="I71:I81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{DCA6027F-2B7B-4D34-A000-EF24F3913058}</x14:id>
        </ext>
      </extLst>
    </cfRule>
  </conditionalFormatting>
  <conditionalFormatting sqref="J71:K81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{D9F042CD-80A3-4699-838F-58AAABB14E8A}</x14:id>
        </ext>
      </extLst>
    </cfRule>
  </conditionalFormatting>
  <conditionalFormatting sqref="C84:C94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{763FB68A-F3AA-4BE0-BF4F-AA2CD3FCBD33}</x14:id>
        </ext>
      </extLst>
    </cfRule>
  </conditionalFormatting>
  <conditionalFormatting sqref="D84:E94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{E8CC9FC7-1D21-4C59-8504-C88D5B5838E7}</x14:id>
        </ext>
      </extLst>
    </cfRule>
  </conditionalFormatting>
  <conditionalFormatting sqref="I84:I94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{0E016442-3ED2-496D-9FCE-0F502D46A237}</x14:id>
        </ext>
      </extLst>
    </cfRule>
  </conditionalFormatting>
  <conditionalFormatting sqref="J84:K94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{D669BF39-A3FB-427C-ABB7-E1641F475344}</x14:id>
        </ext>
      </extLst>
    </cfRule>
  </conditionalFormatting>
  <conditionalFormatting sqref="C97:C107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{8DBD0251-2279-4A82-834A-1D269CA4B91A}</x14:id>
        </ext>
      </extLst>
    </cfRule>
  </conditionalFormatting>
  <conditionalFormatting sqref="D97:E107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{06C68F3B-EED6-4820-8E2F-EE8CC86B9682}</x14:id>
        </ext>
      </extLst>
    </cfRule>
  </conditionalFormatting>
  <conditionalFormatting sqref="I97:I107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{770CFF30-A298-483C-B6ED-45035F2778B3}</x14:id>
        </ext>
      </extLst>
    </cfRule>
  </conditionalFormatting>
  <conditionalFormatting sqref="J97:K107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{EA81A3EC-A401-4A0A-B42E-169688272508}</x14:id>
        </ext>
      </extLst>
    </cfRule>
  </conditionalFormatting>
  <conditionalFormatting sqref="P6:Z1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Z2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Z3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5:Z4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Z5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3:Z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4:Z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3:Z8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2:Z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WorkbookData">
                <anchor moveWithCells="1" sizeWithCells="1">
                  <from>
                    <xdr:col>2</xdr:col>
                    <xdr:colOff>297180</xdr:colOff>
                    <xdr:row>0</xdr:row>
                    <xdr:rowOff>76200</xdr:rowOff>
                  </from>
                  <to>
                    <xdr:col>4</xdr:col>
                    <xdr:colOff>30480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D46390-B4C4-46B9-83C0-B3781FC2D5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C6:C16</xm:sqref>
        </x14:conditionalFormatting>
        <x14:conditionalFormatting xmlns:xm="http://schemas.microsoft.com/office/excel/2006/main">
          <x14:cfRule type="dataBar" id="{4F2FE6AD-3696-4323-941C-4AD2C95552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D6:E16</xm:sqref>
        </x14:conditionalFormatting>
        <x14:conditionalFormatting xmlns:xm="http://schemas.microsoft.com/office/excel/2006/main">
          <x14:cfRule type="dataBar" id="{8059853D-DE14-482A-820F-00D730084A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I6:I16</xm:sqref>
        </x14:conditionalFormatting>
        <x14:conditionalFormatting xmlns:xm="http://schemas.microsoft.com/office/excel/2006/main">
          <x14:cfRule type="dataBar" id="{2941259C-E84C-4C80-9C6E-D5918736CF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J6:K16</xm:sqref>
        </x14:conditionalFormatting>
        <x14:conditionalFormatting xmlns:xm="http://schemas.microsoft.com/office/excel/2006/main">
          <x14:cfRule type="dataBar" id="{1E21FBD6-05B4-4111-830C-A5D8A7236D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C19:C29</xm:sqref>
        </x14:conditionalFormatting>
        <x14:conditionalFormatting xmlns:xm="http://schemas.microsoft.com/office/excel/2006/main">
          <x14:cfRule type="dataBar" id="{032EA055-554B-4417-B94B-BF1EDBF946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D19:E29</xm:sqref>
        </x14:conditionalFormatting>
        <x14:conditionalFormatting xmlns:xm="http://schemas.microsoft.com/office/excel/2006/main">
          <x14:cfRule type="dataBar" id="{ABEA1B00-A188-4FE8-82D3-F46D1D7175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I19:I29</xm:sqref>
        </x14:conditionalFormatting>
        <x14:conditionalFormatting xmlns:xm="http://schemas.microsoft.com/office/excel/2006/main">
          <x14:cfRule type="dataBar" id="{48CE7619-7FE1-4F3E-973C-5A44020D9A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J19:K29</xm:sqref>
        </x14:conditionalFormatting>
        <x14:conditionalFormatting xmlns:xm="http://schemas.microsoft.com/office/excel/2006/main">
          <x14:cfRule type="dataBar" id="{867B5957-66BC-4C2C-99F0-E517E255BF7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C32:C42</xm:sqref>
        </x14:conditionalFormatting>
        <x14:conditionalFormatting xmlns:xm="http://schemas.microsoft.com/office/excel/2006/main">
          <x14:cfRule type="dataBar" id="{94443DA9-C865-41A4-8799-5B00BE3A8A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D32:E42</xm:sqref>
        </x14:conditionalFormatting>
        <x14:conditionalFormatting xmlns:xm="http://schemas.microsoft.com/office/excel/2006/main">
          <x14:cfRule type="dataBar" id="{82FD30FC-B1B7-4AAF-A48F-F803F9AD12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I32:I42</xm:sqref>
        </x14:conditionalFormatting>
        <x14:conditionalFormatting xmlns:xm="http://schemas.microsoft.com/office/excel/2006/main">
          <x14:cfRule type="dataBar" id="{78E906D8-5488-4336-BF39-9A61B4E9CF8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J32:K42</xm:sqref>
        </x14:conditionalFormatting>
        <x14:conditionalFormatting xmlns:xm="http://schemas.microsoft.com/office/excel/2006/main">
          <x14:cfRule type="dataBar" id="{218503B1-5284-4AEC-8F34-A64287A0ED3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C45:C55</xm:sqref>
        </x14:conditionalFormatting>
        <x14:conditionalFormatting xmlns:xm="http://schemas.microsoft.com/office/excel/2006/main">
          <x14:cfRule type="dataBar" id="{57AD6EA3-DDD8-4217-B22F-AE9B37630AE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D45:E55</xm:sqref>
        </x14:conditionalFormatting>
        <x14:conditionalFormatting xmlns:xm="http://schemas.microsoft.com/office/excel/2006/main">
          <x14:cfRule type="dataBar" id="{ABCC7A52-24A6-4D2D-A187-E4E5B6CBDDF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I45:I55</xm:sqref>
        </x14:conditionalFormatting>
        <x14:conditionalFormatting xmlns:xm="http://schemas.microsoft.com/office/excel/2006/main">
          <x14:cfRule type="dataBar" id="{44693872-DA03-4933-B878-4ECB6BF98A6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J45:K55</xm:sqref>
        </x14:conditionalFormatting>
        <x14:conditionalFormatting xmlns:xm="http://schemas.microsoft.com/office/excel/2006/main">
          <x14:cfRule type="dataBar" id="{23F574AD-31B4-4985-839D-F9E6BB23C92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C58:C68</xm:sqref>
        </x14:conditionalFormatting>
        <x14:conditionalFormatting xmlns:xm="http://schemas.microsoft.com/office/excel/2006/main">
          <x14:cfRule type="dataBar" id="{3F71B75C-AFC1-4CDA-AA5A-BF656A7AEA0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D58:E68</xm:sqref>
        </x14:conditionalFormatting>
        <x14:conditionalFormatting xmlns:xm="http://schemas.microsoft.com/office/excel/2006/main">
          <x14:cfRule type="dataBar" id="{F9C0BB03-1000-4E93-9DC5-CEDDDF6FD1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I58:I68</xm:sqref>
        </x14:conditionalFormatting>
        <x14:conditionalFormatting xmlns:xm="http://schemas.microsoft.com/office/excel/2006/main">
          <x14:cfRule type="dataBar" id="{F8E0655E-4971-425E-8E32-A681A667674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J58:K68</xm:sqref>
        </x14:conditionalFormatting>
        <x14:conditionalFormatting xmlns:xm="http://schemas.microsoft.com/office/excel/2006/main">
          <x14:cfRule type="dataBar" id="{55114156-B618-4D8F-8F25-1ABA0AB898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C71:C81</xm:sqref>
        </x14:conditionalFormatting>
        <x14:conditionalFormatting xmlns:xm="http://schemas.microsoft.com/office/excel/2006/main">
          <x14:cfRule type="dataBar" id="{654C7C5D-9420-495F-BB0A-1755475694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D71:E81</xm:sqref>
        </x14:conditionalFormatting>
        <x14:conditionalFormatting xmlns:xm="http://schemas.microsoft.com/office/excel/2006/main">
          <x14:cfRule type="dataBar" id="{DCA6027F-2B7B-4D34-A000-EF24F39130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I71:I81</xm:sqref>
        </x14:conditionalFormatting>
        <x14:conditionalFormatting xmlns:xm="http://schemas.microsoft.com/office/excel/2006/main">
          <x14:cfRule type="dataBar" id="{D9F042CD-80A3-4699-838F-58AAABB14E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J71:K81</xm:sqref>
        </x14:conditionalFormatting>
        <x14:conditionalFormatting xmlns:xm="http://schemas.microsoft.com/office/excel/2006/main">
          <x14:cfRule type="dataBar" id="{763FB68A-F3AA-4BE0-BF4F-AA2CD3FCBD3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C84:C94</xm:sqref>
        </x14:conditionalFormatting>
        <x14:conditionalFormatting xmlns:xm="http://schemas.microsoft.com/office/excel/2006/main">
          <x14:cfRule type="dataBar" id="{E8CC9FC7-1D21-4C59-8504-C88D5B5838E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D84:E94</xm:sqref>
        </x14:conditionalFormatting>
        <x14:conditionalFormatting xmlns:xm="http://schemas.microsoft.com/office/excel/2006/main">
          <x14:cfRule type="dataBar" id="{0E016442-3ED2-496D-9FCE-0F502D46A2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I84:I94</xm:sqref>
        </x14:conditionalFormatting>
        <x14:conditionalFormatting xmlns:xm="http://schemas.microsoft.com/office/excel/2006/main">
          <x14:cfRule type="dataBar" id="{D669BF39-A3FB-427C-ABB7-E1641F47534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J84:K94</xm:sqref>
        </x14:conditionalFormatting>
        <x14:conditionalFormatting xmlns:xm="http://schemas.microsoft.com/office/excel/2006/main">
          <x14:cfRule type="dataBar" id="{8DBD0251-2279-4A82-834A-1D269CA4B91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C97:C107</xm:sqref>
        </x14:conditionalFormatting>
        <x14:conditionalFormatting xmlns:xm="http://schemas.microsoft.com/office/excel/2006/main">
          <x14:cfRule type="dataBar" id="{06C68F3B-EED6-4820-8E2F-EE8CC86B96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D97:E107</xm:sqref>
        </x14:conditionalFormatting>
        <x14:conditionalFormatting xmlns:xm="http://schemas.microsoft.com/office/excel/2006/main">
          <x14:cfRule type="dataBar" id="{770CFF30-A298-483C-B6ED-45035F2778B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I97:I107</xm:sqref>
        </x14:conditionalFormatting>
        <x14:conditionalFormatting xmlns:xm="http://schemas.microsoft.com/office/excel/2006/main">
          <x14:cfRule type="dataBar" id="{EA81A3EC-A401-4A0A-B42E-16968827250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J97:K107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 Indicators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PROMPONG PANTUWORN</dc:creator>
  <cp:lastModifiedBy>Prompong Pantuworn</cp:lastModifiedBy>
  <dcterms:created xsi:type="dcterms:W3CDTF">2018-09-19T10:09:27Z</dcterms:created>
  <dcterms:modified xsi:type="dcterms:W3CDTF">2018-09-19T17:09:53Z</dcterms:modified>
</cp:coreProperties>
</file>