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Investment_Management\Share\Worksheet\"/>
    </mc:Choice>
  </mc:AlternateContent>
  <xr:revisionPtr revIDLastSave="0" documentId="10_ncr:100000_{251A4ED9-4C7F-4C67-AE9C-D72583D755C9}" xr6:coauthVersionLast="31" xr6:coauthVersionMax="31" xr10:uidLastSave="{00000000-0000-0000-0000-000000000000}"/>
  <bookViews>
    <workbookView xWindow="0" yWindow="0" windowWidth="28800" windowHeight="11925" xr2:uid="{2C2574F7-6CD0-48B8-8A77-318407D29ED0}"/>
  </bookViews>
  <sheets>
    <sheet name="25Sep18" sheetId="1" r:id="rId1"/>
    <sheet name="2Oct18" sheetId="14" r:id="rId2"/>
    <sheet name="8Oct18" sheetId="13" r:id="rId3"/>
    <sheet name="11Oct18" sheetId="17" r:id="rId4"/>
  </sheets>
  <functionGroups builtInGroupCount="19"/>
  <definedNames>
    <definedName name="_xlnm._FilterDatabase" localSheetId="0" hidden="1">'25Sep18'!$A$2:$Z$60</definedName>
    <definedName name="Rank">OFFSET('25Sep18'!$X$30,0,0,COUNTA('25Sep18'!$AJ:$AJ),1)</definedName>
  </definedNames>
  <calcPr calcId="17901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" l="1"/>
  <c r="U65" i="17"/>
  <c r="T65" i="17"/>
  <c r="S65" i="17"/>
  <c r="Q65" i="17"/>
  <c r="P65" i="17"/>
  <c r="S64" i="17"/>
  <c r="S63" i="17"/>
  <c r="S62" i="17"/>
  <c r="S61" i="17"/>
  <c r="S60" i="17"/>
  <c r="S59" i="17"/>
  <c r="G59" i="17"/>
  <c r="S58" i="17"/>
  <c r="G58" i="17"/>
  <c r="S57" i="17"/>
  <c r="G57" i="17"/>
  <c r="S56" i="17"/>
  <c r="O54" i="17"/>
  <c r="C53" i="17"/>
  <c r="B53" i="17"/>
  <c r="U52" i="17"/>
  <c r="T52" i="17"/>
  <c r="Q52" i="17"/>
  <c r="P52" i="17"/>
  <c r="C52" i="17"/>
  <c r="D52" i="17" s="1"/>
  <c r="B52" i="17"/>
  <c r="S51" i="17"/>
  <c r="C51" i="17"/>
  <c r="S50" i="17"/>
  <c r="D50" i="17"/>
  <c r="C50" i="17"/>
  <c r="B50" i="17"/>
  <c r="S49" i="17"/>
  <c r="C49" i="17"/>
  <c r="S48" i="17"/>
  <c r="D48" i="17"/>
  <c r="C48" i="17"/>
  <c r="B48" i="17"/>
  <c r="S47" i="17"/>
  <c r="C47" i="17"/>
  <c r="S46" i="17"/>
  <c r="D46" i="17"/>
  <c r="C46" i="17"/>
  <c r="B46" i="17"/>
  <c r="S45" i="17"/>
  <c r="D45" i="17"/>
  <c r="C45" i="17"/>
  <c r="S44" i="17"/>
  <c r="D44" i="17"/>
  <c r="C44" i="17"/>
  <c r="B44" i="17"/>
  <c r="S43" i="17"/>
  <c r="C43" i="17"/>
  <c r="D42" i="17"/>
  <c r="C42" i="17"/>
  <c r="B42" i="17" s="1"/>
  <c r="O41" i="17"/>
  <c r="C41" i="17"/>
  <c r="D40" i="17"/>
  <c r="C40" i="17"/>
  <c r="U39" i="17"/>
  <c r="T39" i="17"/>
  <c r="Q39" i="17"/>
  <c r="P39" i="17"/>
  <c r="O39" i="17"/>
  <c r="C39" i="17"/>
  <c r="B39" i="17"/>
  <c r="S38" i="17"/>
  <c r="D38" i="17"/>
  <c r="C38" i="17"/>
  <c r="B38" i="17" s="1"/>
  <c r="S37" i="17"/>
  <c r="C37" i="17"/>
  <c r="S36" i="17"/>
  <c r="D36" i="17"/>
  <c r="C36" i="17"/>
  <c r="B36" i="17"/>
  <c r="S35" i="17"/>
  <c r="C35" i="17"/>
  <c r="S34" i="17"/>
  <c r="D34" i="17"/>
  <c r="C34" i="17"/>
  <c r="B34" i="17"/>
  <c r="S33" i="17"/>
  <c r="D33" i="17"/>
  <c r="C33" i="17"/>
  <c r="S32" i="17"/>
  <c r="H32" i="17"/>
  <c r="O65" i="17" s="1"/>
  <c r="C32" i="17"/>
  <c r="S31" i="17"/>
  <c r="H31" i="17"/>
  <c r="O52" i="17" s="1"/>
  <c r="C31" i="17"/>
  <c r="B31" i="17"/>
  <c r="S30" i="17"/>
  <c r="H30" i="17"/>
  <c r="S39" i="17" s="1"/>
  <c r="D30" i="17"/>
  <c r="C30" i="17"/>
  <c r="B30" i="17"/>
  <c r="A30" i="17"/>
  <c r="O28" i="17"/>
  <c r="D28" i="17"/>
  <c r="B28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AC20" i="17"/>
  <c r="AB20" i="17"/>
  <c r="AA20" i="17"/>
  <c r="AC19" i="17"/>
  <c r="AB19" i="17"/>
  <c r="AA19" i="17"/>
  <c r="AC18" i="17"/>
  <c r="AB18" i="17"/>
  <c r="AB21" i="17" s="1"/>
  <c r="AA18" i="17"/>
  <c r="AD17" i="17"/>
  <c r="Y17" i="17"/>
  <c r="Q17" i="17"/>
  <c r="I17" i="17"/>
  <c r="C17" i="17" a="1"/>
  <c r="B16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AC13" i="17"/>
  <c r="AB13" i="17"/>
  <c r="AA13" i="17"/>
  <c r="AC12" i="17"/>
  <c r="AB12" i="17"/>
  <c r="AA12" i="17"/>
  <c r="AC11" i="17"/>
  <c r="AB11" i="17"/>
  <c r="AA11" i="17"/>
  <c r="AA14" i="17" s="1"/>
  <c r="AD10" i="17"/>
  <c r="Y10" i="17"/>
  <c r="X10" i="17"/>
  <c r="W10" i="17"/>
  <c r="U10" i="17"/>
  <c r="T10" i="17"/>
  <c r="S10" i="17"/>
  <c r="Q10" i="17"/>
  <c r="P10" i="17"/>
  <c r="O10" i="17"/>
  <c r="M10" i="17"/>
  <c r="L10" i="17"/>
  <c r="K10" i="17"/>
  <c r="I10" i="17"/>
  <c r="H10" i="17"/>
  <c r="G10" i="17"/>
  <c r="E10" i="17"/>
  <c r="D10" i="17"/>
  <c r="C10" i="17"/>
  <c r="C10" i="17" a="1"/>
  <c r="Z10" i="17" s="1"/>
  <c r="B9" i="17"/>
  <c r="AC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AC6" i="17"/>
  <c r="AB6" i="17"/>
  <c r="AA6" i="17"/>
  <c r="AC5" i="17"/>
  <c r="AB5" i="17"/>
  <c r="AA5" i="17"/>
  <c r="AC4" i="17"/>
  <c r="AB4" i="17"/>
  <c r="AB7" i="17" s="1"/>
  <c r="AA4" i="17"/>
  <c r="AD3" i="17"/>
  <c r="X3" i="17"/>
  <c r="W3" i="17"/>
  <c r="T3" i="17"/>
  <c r="S3" i="17"/>
  <c r="P3" i="17"/>
  <c r="O3" i="17"/>
  <c r="L3" i="17"/>
  <c r="K3" i="17"/>
  <c r="H3" i="17"/>
  <c r="G3" i="17"/>
  <c r="D3" i="17"/>
  <c r="C3" i="17"/>
  <c r="C3" i="17" a="1"/>
  <c r="Z3" i="17" s="1"/>
  <c r="B2" i="17"/>
  <c r="B1" i="17"/>
  <c r="U65" i="14"/>
  <c r="T65" i="14"/>
  <c r="Q65" i="14"/>
  <c r="P65" i="14"/>
  <c r="S64" i="14"/>
  <c r="S63" i="14"/>
  <c r="S62" i="14"/>
  <c r="S61" i="14"/>
  <c r="S60" i="14"/>
  <c r="S59" i="14"/>
  <c r="G59" i="14"/>
  <c r="S58" i="14"/>
  <c r="G58" i="14"/>
  <c r="S57" i="14"/>
  <c r="G57" i="14"/>
  <c r="S56" i="14"/>
  <c r="O54" i="14"/>
  <c r="C53" i="14"/>
  <c r="B53" i="14"/>
  <c r="U52" i="14"/>
  <c r="T52" i="14"/>
  <c r="Q52" i="14"/>
  <c r="P52" i="14"/>
  <c r="C52" i="14"/>
  <c r="D52" i="14" s="1"/>
  <c r="B52" i="14"/>
  <c r="S51" i="14"/>
  <c r="C51" i="14"/>
  <c r="B51" i="14" s="1"/>
  <c r="S50" i="14"/>
  <c r="D50" i="14"/>
  <c r="C50" i="14"/>
  <c r="B50" i="14"/>
  <c r="S49" i="14"/>
  <c r="C49" i="14"/>
  <c r="B49" i="14" s="1"/>
  <c r="S48" i="14"/>
  <c r="D48" i="14"/>
  <c r="C48" i="14"/>
  <c r="B48" i="14"/>
  <c r="S47" i="14"/>
  <c r="C47" i="14"/>
  <c r="B47" i="14" s="1"/>
  <c r="S46" i="14"/>
  <c r="D46" i="14"/>
  <c r="C46" i="14"/>
  <c r="B46" i="14"/>
  <c r="S45" i="14"/>
  <c r="C45" i="14"/>
  <c r="B45" i="14" s="1"/>
  <c r="S44" i="14"/>
  <c r="D44" i="14"/>
  <c r="C44" i="14"/>
  <c r="B44" i="14"/>
  <c r="S43" i="14"/>
  <c r="C43" i="14"/>
  <c r="D42" i="14"/>
  <c r="C42" i="14"/>
  <c r="B42" i="14" s="1"/>
  <c r="O41" i="14"/>
  <c r="C41" i="14"/>
  <c r="D41" i="14" s="1"/>
  <c r="B41" i="14"/>
  <c r="C40" i="14"/>
  <c r="U39" i="14"/>
  <c r="T39" i="14"/>
  <c r="Q39" i="14"/>
  <c r="P39" i="14"/>
  <c r="O39" i="14" s="1"/>
  <c r="C39" i="14"/>
  <c r="D39" i="14" s="1"/>
  <c r="B39" i="14"/>
  <c r="S38" i="14"/>
  <c r="D38" i="14"/>
  <c r="C38" i="14"/>
  <c r="B38" i="14" s="1"/>
  <c r="S37" i="14"/>
  <c r="C37" i="14"/>
  <c r="S36" i="14"/>
  <c r="D36" i="14"/>
  <c r="C36" i="14"/>
  <c r="B36" i="14"/>
  <c r="S35" i="14"/>
  <c r="C35" i="14"/>
  <c r="S34" i="14"/>
  <c r="D34" i="14"/>
  <c r="C34" i="14"/>
  <c r="B34" i="14"/>
  <c r="S33" i="14"/>
  <c r="C33" i="14"/>
  <c r="S32" i="14"/>
  <c r="H32" i="14"/>
  <c r="O65" i="14" s="1"/>
  <c r="C32" i="14"/>
  <c r="S31" i="14"/>
  <c r="H31" i="14"/>
  <c r="C31" i="14"/>
  <c r="D31" i="14" s="1"/>
  <c r="B31" i="14"/>
  <c r="S30" i="14"/>
  <c r="H30" i="14"/>
  <c r="S39" i="14" s="1"/>
  <c r="D30" i="14"/>
  <c r="C30" i="14"/>
  <c r="B30" i="14"/>
  <c r="O28" i="14"/>
  <c r="D28" i="14"/>
  <c r="B28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C20" i="14"/>
  <c r="AB20" i="14"/>
  <c r="AA20" i="14"/>
  <c r="AC19" i="14"/>
  <c r="AB19" i="14"/>
  <c r="AA19" i="14"/>
  <c r="AC18" i="14"/>
  <c r="AC21" i="14" s="1"/>
  <c r="AB18" i="14"/>
  <c r="AB21" i="14" s="1"/>
  <c r="AA18" i="14"/>
  <c r="AD17" i="14"/>
  <c r="Y17" i="14"/>
  <c r="U17" i="14"/>
  <c r="Q17" i="14"/>
  <c r="M17" i="14"/>
  <c r="I17" i="14"/>
  <c r="E17" i="14"/>
  <c r="C17" i="14" a="1"/>
  <c r="X17" i="14" s="1"/>
  <c r="B16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AC13" i="14"/>
  <c r="AB13" i="14"/>
  <c r="AA13" i="14"/>
  <c r="AC12" i="14"/>
  <c r="AB12" i="14"/>
  <c r="AA12" i="14"/>
  <c r="AC11" i="14"/>
  <c r="AB11" i="14"/>
  <c r="AA11" i="14"/>
  <c r="AA14" i="14" s="1"/>
  <c r="AD10" i="14"/>
  <c r="Y10" i="14"/>
  <c r="X10" i="14"/>
  <c r="W10" i="14"/>
  <c r="U10" i="14"/>
  <c r="T10" i="14"/>
  <c r="S10" i="14"/>
  <c r="Q10" i="14"/>
  <c r="P10" i="14"/>
  <c r="O10" i="14"/>
  <c r="M10" i="14"/>
  <c r="L10" i="14"/>
  <c r="K10" i="14"/>
  <c r="I10" i="14"/>
  <c r="H10" i="14"/>
  <c r="G10" i="14"/>
  <c r="E10" i="14"/>
  <c r="D10" i="14"/>
  <c r="C10" i="14"/>
  <c r="C10" i="14" a="1"/>
  <c r="Z10" i="14" s="1"/>
  <c r="B9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AC6" i="14"/>
  <c r="AB6" i="14"/>
  <c r="AB7" i="14" s="1"/>
  <c r="AA6" i="14"/>
  <c r="AC5" i="14"/>
  <c r="AB5" i="14"/>
  <c r="AA5" i="14"/>
  <c r="AC4" i="14"/>
  <c r="AC7" i="14" s="1"/>
  <c r="AB4" i="14"/>
  <c r="AA4" i="14"/>
  <c r="AD3" i="14"/>
  <c r="A29" i="14" s="1"/>
  <c r="C3" i="14" a="1"/>
  <c r="N3" i="14" s="1"/>
  <c r="B2" i="14"/>
  <c r="B1" i="14"/>
  <c r="U65" i="13"/>
  <c r="T65" i="13"/>
  <c r="Q65" i="13"/>
  <c r="P65" i="13"/>
  <c r="S64" i="13"/>
  <c r="S63" i="13"/>
  <c r="S62" i="13"/>
  <c r="S61" i="13"/>
  <c r="S60" i="13"/>
  <c r="S59" i="13"/>
  <c r="G59" i="13"/>
  <c r="S58" i="13"/>
  <c r="G58" i="13"/>
  <c r="S57" i="13"/>
  <c r="G57" i="13"/>
  <c r="S56" i="13"/>
  <c r="O54" i="13"/>
  <c r="C53" i="13"/>
  <c r="B53" i="13"/>
  <c r="U52" i="13"/>
  <c r="T52" i="13"/>
  <c r="Q52" i="13"/>
  <c r="P52" i="13"/>
  <c r="D52" i="13"/>
  <c r="C52" i="13"/>
  <c r="B52" i="13"/>
  <c r="S51" i="13"/>
  <c r="C51" i="13"/>
  <c r="S50" i="13"/>
  <c r="D50" i="13"/>
  <c r="C50" i="13"/>
  <c r="B50" i="13"/>
  <c r="S49" i="13"/>
  <c r="C49" i="13"/>
  <c r="S48" i="13"/>
  <c r="D48" i="13"/>
  <c r="C48" i="13"/>
  <c r="B48" i="13"/>
  <c r="S47" i="13"/>
  <c r="C47" i="13"/>
  <c r="S46" i="13"/>
  <c r="D46" i="13"/>
  <c r="C46" i="13"/>
  <c r="B46" i="13"/>
  <c r="S45" i="13"/>
  <c r="C45" i="13"/>
  <c r="S44" i="13"/>
  <c r="D44" i="13"/>
  <c r="C44" i="13"/>
  <c r="B44" i="13"/>
  <c r="S43" i="13"/>
  <c r="C43" i="13"/>
  <c r="D42" i="13"/>
  <c r="C42" i="13"/>
  <c r="B42" i="13" s="1"/>
  <c r="O41" i="13"/>
  <c r="C41" i="13"/>
  <c r="B41" i="13"/>
  <c r="C40" i="13"/>
  <c r="U39" i="13"/>
  <c r="T39" i="13"/>
  <c r="Q39" i="13"/>
  <c r="P39" i="13"/>
  <c r="C39" i="13"/>
  <c r="B39" i="13"/>
  <c r="S38" i="13"/>
  <c r="D38" i="13"/>
  <c r="C38" i="13"/>
  <c r="B38" i="13" s="1"/>
  <c r="S37" i="13"/>
  <c r="C37" i="13"/>
  <c r="S36" i="13"/>
  <c r="D36" i="13"/>
  <c r="C36" i="13"/>
  <c r="B36" i="13"/>
  <c r="S35" i="13"/>
  <c r="C35" i="13"/>
  <c r="S34" i="13"/>
  <c r="D34" i="13"/>
  <c r="C34" i="13"/>
  <c r="B34" i="13"/>
  <c r="S33" i="13"/>
  <c r="C33" i="13"/>
  <c r="S32" i="13"/>
  <c r="H32" i="13"/>
  <c r="O65" i="13" s="1"/>
  <c r="C32" i="13"/>
  <c r="S31" i="13"/>
  <c r="H31" i="13"/>
  <c r="O52" i="13" s="1"/>
  <c r="C31" i="13"/>
  <c r="B31" i="13"/>
  <c r="S30" i="13"/>
  <c r="H30" i="13"/>
  <c r="O39" i="13" s="1"/>
  <c r="D30" i="13"/>
  <c r="C30" i="13"/>
  <c r="B30" i="13"/>
  <c r="O28" i="13"/>
  <c r="D28" i="13"/>
  <c r="B28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C20" i="13"/>
  <c r="AB20" i="13"/>
  <c r="AA20" i="13"/>
  <c r="AC19" i="13"/>
  <c r="AB19" i="13"/>
  <c r="AA19" i="13"/>
  <c r="AC18" i="13"/>
  <c r="AB18" i="13"/>
  <c r="AA18" i="13"/>
  <c r="AD17" i="13"/>
  <c r="V17" i="13"/>
  <c r="N17" i="13"/>
  <c r="F17" i="13"/>
  <c r="C17" i="13" a="1"/>
  <c r="Y17" i="13" s="1"/>
  <c r="B16" i="13"/>
  <c r="AA14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C14" i="13"/>
  <c r="AC13" i="13"/>
  <c r="AB13" i="13"/>
  <c r="AA13" i="13"/>
  <c r="AC12" i="13"/>
  <c r="AC14" i="13" s="1"/>
  <c r="AB12" i="13"/>
  <c r="AA12" i="13"/>
  <c r="AC11" i="13"/>
  <c r="AB11" i="13"/>
  <c r="AB14" i="13" s="1"/>
  <c r="AA11" i="13"/>
  <c r="AD10" i="13"/>
  <c r="Y10" i="13"/>
  <c r="X10" i="13"/>
  <c r="W10" i="13"/>
  <c r="U10" i="13"/>
  <c r="T10" i="13"/>
  <c r="S10" i="13"/>
  <c r="Q10" i="13"/>
  <c r="P10" i="13"/>
  <c r="O10" i="13"/>
  <c r="M10" i="13"/>
  <c r="L10" i="13"/>
  <c r="K10" i="13"/>
  <c r="I10" i="13"/>
  <c r="H10" i="13"/>
  <c r="G10" i="13"/>
  <c r="E10" i="13"/>
  <c r="D10" i="13"/>
  <c r="C10" i="13"/>
  <c r="C10" i="13" a="1"/>
  <c r="Z10" i="13" s="1"/>
  <c r="B9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AC6" i="13"/>
  <c r="AB6" i="13"/>
  <c r="AA6" i="13"/>
  <c r="AC5" i="13"/>
  <c r="AB5" i="13"/>
  <c r="AA5" i="13"/>
  <c r="AC4" i="13"/>
  <c r="AB4" i="13"/>
  <c r="AA4" i="13"/>
  <c r="AD3" i="13"/>
  <c r="C3" i="13" a="1"/>
  <c r="W3" i="13" s="1"/>
  <c r="B2" i="13"/>
  <c r="B1" i="13"/>
  <c r="AD31" i="14"/>
  <c r="AD35" i="14"/>
  <c r="AD39" i="14"/>
  <c r="AD43" i="14"/>
  <c r="AD47" i="14"/>
  <c r="AD51" i="14"/>
  <c r="AD53" i="14"/>
  <c r="AD34" i="14"/>
  <c r="AD32" i="14"/>
  <c r="AD36" i="14"/>
  <c r="AD40" i="14"/>
  <c r="AD44" i="14"/>
  <c r="AD48" i="14"/>
  <c r="AD52" i="14"/>
  <c r="AD49" i="14"/>
  <c r="AD42" i="14"/>
  <c r="AD46" i="14"/>
  <c r="AD33" i="14"/>
  <c r="AD37" i="14"/>
  <c r="AD41" i="14"/>
  <c r="AD45" i="14"/>
  <c r="AD38" i="14"/>
  <c r="AD50" i="14"/>
  <c r="AD30" i="14"/>
  <c r="AD31" i="13"/>
  <c r="AD31" i="17" s="1"/>
  <c r="AD35" i="13"/>
  <c r="AD35" i="17" s="1"/>
  <c r="AD39" i="13"/>
  <c r="AD39" i="17" s="1"/>
  <c r="AD43" i="13"/>
  <c r="AD43" i="17" s="1"/>
  <c r="AD47" i="13"/>
  <c r="AD47" i="17" s="1"/>
  <c r="AD51" i="13"/>
  <c r="AD51" i="17" s="1"/>
  <c r="AD38" i="13"/>
  <c r="AD38" i="17" s="1"/>
  <c r="AD46" i="13"/>
  <c r="AD46" i="17" s="1"/>
  <c r="AD32" i="13"/>
  <c r="AD32" i="17" s="1"/>
  <c r="AD36" i="13"/>
  <c r="AD36" i="17" s="1"/>
  <c r="AD40" i="13"/>
  <c r="AD40" i="17" s="1"/>
  <c r="AD44" i="13"/>
  <c r="AD44" i="17" s="1"/>
  <c r="AD48" i="13"/>
  <c r="AD48" i="17" s="1"/>
  <c r="AD52" i="13"/>
  <c r="AD52" i="17" s="1"/>
  <c r="AD42" i="13"/>
  <c r="AD42" i="17" s="1"/>
  <c r="AD33" i="13"/>
  <c r="AD33" i="17" s="1"/>
  <c r="AD37" i="13"/>
  <c r="AD37" i="17" s="1"/>
  <c r="AD41" i="13"/>
  <c r="AD41" i="17" s="1"/>
  <c r="AD45" i="13"/>
  <c r="AD45" i="17" s="1"/>
  <c r="AD49" i="13"/>
  <c r="AD49" i="17" s="1"/>
  <c r="AD53" i="13"/>
  <c r="AD53" i="17" s="1"/>
  <c r="AD34" i="13"/>
  <c r="AD34" i="17" s="1"/>
  <c r="AD50" i="13"/>
  <c r="AD50" i="17" s="1"/>
  <c r="AD30" i="13"/>
  <c r="AD30" i="17" s="1"/>
  <c r="AB21" i="13" l="1"/>
  <c r="AA21" i="13"/>
  <c r="B32" i="17"/>
  <c r="B35" i="17"/>
  <c r="D41" i="17"/>
  <c r="S52" i="17"/>
  <c r="X17" i="17"/>
  <c r="T17" i="17"/>
  <c r="P17" i="17"/>
  <c r="L17" i="17"/>
  <c r="H17" i="17"/>
  <c r="D17" i="17"/>
  <c r="W17" i="17"/>
  <c r="S17" i="17"/>
  <c r="O17" i="17"/>
  <c r="K17" i="17"/>
  <c r="G17" i="17"/>
  <c r="C17" i="17"/>
  <c r="J17" i="17"/>
  <c r="R17" i="17"/>
  <c r="Z17" i="17"/>
  <c r="AC39" i="17"/>
  <c r="AC36" i="17"/>
  <c r="AC34" i="17"/>
  <c r="AC31" i="17"/>
  <c r="AC49" i="17"/>
  <c r="AC53" i="17"/>
  <c r="AC51" i="17"/>
  <c r="AC47" i="17"/>
  <c r="D32" i="17"/>
  <c r="B37" i="17"/>
  <c r="AC37" i="17"/>
  <c r="AC40" i="17"/>
  <c r="B49" i="17"/>
  <c r="D49" i="17"/>
  <c r="E17" i="17"/>
  <c r="M17" i="17"/>
  <c r="U17" i="17"/>
  <c r="D37" i="17"/>
  <c r="B43" i="17"/>
  <c r="AC43" i="17"/>
  <c r="AA7" i="17"/>
  <c r="AB14" i="17"/>
  <c r="AC14" i="17"/>
  <c r="F17" i="17"/>
  <c r="N17" i="17"/>
  <c r="V17" i="17"/>
  <c r="A29" i="17"/>
  <c r="AC50" i="17"/>
  <c r="A31" i="17"/>
  <c r="D31" i="17"/>
  <c r="B33" i="17"/>
  <c r="AC33" i="17"/>
  <c r="D39" i="17"/>
  <c r="B40" i="17"/>
  <c r="B41" i="17"/>
  <c r="D43" i="17"/>
  <c r="B45" i="17"/>
  <c r="AC45" i="17"/>
  <c r="B47" i="17"/>
  <c r="D47" i="17"/>
  <c r="B51" i="17"/>
  <c r="D51" i="17"/>
  <c r="AC52" i="17"/>
  <c r="AC21" i="17"/>
  <c r="D35" i="17"/>
  <c r="E3" i="17"/>
  <c r="A53" i="17" s="1"/>
  <c r="I3" i="17"/>
  <c r="M3" i="17"/>
  <c r="Q3" i="17"/>
  <c r="U3" i="17"/>
  <c r="Y3" i="17"/>
  <c r="F10" i="17"/>
  <c r="J10" i="17"/>
  <c r="N10" i="17"/>
  <c r="R10" i="17"/>
  <c r="V10" i="17"/>
  <c r="AC32" i="17"/>
  <c r="AC41" i="17"/>
  <c r="D53" i="17"/>
  <c r="F3" i="17"/>
  <c r="J3" i="17"/>
  <c r="N3" i="17"/>
  <c r="R3" i="17"/>
  <c r="V3" i="17"/>
  <c r="AC42" i="17"/>
  <c r="AC44" i="17"/>
  <c r="AC46" i="17"/>
  <c r="AC48" i="17"/>
  <c r="AA7" i="13"/>
  <c r="A29" i="13"/>
  <c r="AB7" i="13"/>
  <c r="AC21" i="13"/>
  <c r="AC7" i="13"/>
  <c r="B35" i="14"/>
  <c r="D35" i="14"/>
  <c r="C3" i="14"/>
  <c r="A32" i="14" s="1"/>
  <c r="K3" i="14"/>
  <c r="S3" i="14"/>
  <c r="B32" i="14"/>
  <c r="D32" i="14"/>
  <c r="D54" i="14" s="1"/>
  <c r="B33" i="14"/>
  <c r="D33" i="14"/>
  <c r="B37" i="14"/>
  <c r="D37" i="14"/>
  <c r="B40" i="14"/>
  <c r="D40" i="14"/>
  <c r="Y3" i="14"/>
  <c r="U3" i="14"/>
  <c r="Q3" i="14"/>
  <c r="M3" i="14"/>
  <c r="I3" i="14"/>
  <c r="E3" i="14"/>
  <c r="A40" i="14" s="1"/>
  <c r="X3" i="14"/>
  <c r="P3" i="14"/>
  <c r="H3" i="14"/>
  <c r="A45" i="14" s="1"/>
  <c r="T3" i="14"/>
  <c r="L3" i="14"/>
  <c r="D3" i="14"/>
  <c r="J3" i="14"/>
  <c r="R3" i="14"/>
  <c r="Z3" i="14"/>
  <c r="AC31" i="14"/>
  <c r="F3" i="14"/>
  <c r="A33" i="14" s="1"/>
  <c r="V3" i="14"/>
  <c r="AA7" i="14"/>
  <c r="G3" i="14"/>
  <c r="O3" i="14"/>
  <c r="W3" i="14"/>
  <c r="AB14" i="14"/>
  <c r="AC14" i="14"/>
  <c r="O52" i="14"/>
  <c r="S52" i="14"/>
  <c r="AC30" i="14" s="1"/>
  <c r="B43" i="14"/>
  <c r="A43" i="14"/>
  <c r="D43" i="14"/>
  <c r="F17" i="14"/>
  <c r="V17" i="14"/>
  <c r="AC33" i="14"/>
  <c r="A42" i="14"/>
  <c r="D45" i="14"/>
  <c r="D47" i="14"/>
  <c r="D49" i="14"/>
  <c r="D51" i="14"/>
  <c r="S65" i="14"/>
  <c r="J17" i="14"/>
  <c r="N17" i="14"/>
  <c r="R17" i="14"/>
  <c r="Z17" i="14"/>
  <c r="F10" i="14"/>
  <c r="J10" i="14"/>
  <c r="N10" i="14"/>
  <c r="R10" i="14"/>
  <c r="V10" i="14"/>
  <c r="C17" i="14"/>
  <c r="G17" i="14"/>
  <c r="K17" i="14"/>
  <c r="O17" i="14"/>
  <c r="S17" i="14"/>
  <c r="W17" i="14"/>
  <c r="AC41" i="14"/>
  <c r="A51" i="14"/>
  <c r="D53" i="14"/>
  <c r="D17" i="14"/>
  <c r="H17" i="14"/>
  <c r="L17" i="14"/>
  <c r="P17" i="14"/>
  <c r="T17" i="14"/>
  <c r="AC36" i="14"/>
  <c r="AC48" i="14"/>
  <c r="G3" i="13"/>
  <c r="B43" i="13"/>
  <c r="D43" i="13"/>
  <c r="B47" i="13"/>
  <c r="D47" i="13"/>
  <c r="B51" i="13"/>
  <c r="D51" i="13"/>
  <c r="C3" i="13"/>
  <c r="A45" i="13" s="1"/>
  <c r="H3" i="13"/>
  <c r="N3" i="13"/>
  <c r="S3" i="13"/>
  <c r="X3" i="13"/>
  <c r="I17" i="13"/>
  <c r="Q17" i="13"/>
  <c r="AC46" i="13"/>
  <c r="B35" i="13"/>
  <c r="D35" i="13"/>
  <c r="L3" i="13"/>
  <c r="R3" i="13"/>
  <c r="X17" i="13"/>
  <c r="T17" i="13"/>
  <c r="P17" i="13"/>
  <c r="L17" i="13"/>
  <c r="H17" i="13"/>
  <c r="D17" i="13"/>
  <c r="W17" i="13"/>
  <c r="S17" i="13"/>
  <c r="O17" i="13"/>
  <c r="K17" i="13"/>
  <c r="G17" i="13"/>
  <c r="C17" i="13"/>
  <c r="J17" i="13"/>
  <c r="R17" i="13"/>
  <c r="Z17" i="13"/>
  <c r="B45" i="13"/>
  <c r="D45" i="13"/>
  <c r="B49" i="13"/>
  <c r="D49" i="13"/>
  <c r="S52" i="13"/>
  <c r="AC33" i="13" s="1"/>
  <c r="Y3" i="13"/>
  <c r="U3" i="13"/>
  <c r="Q3" i="13"/>
  <c r="M3" i="13"/>
  <c r="I3" i="13"/>
  <c r="E3" i="13"/>
  <c r="D3" i="13"/>
  <c r="J3" i="13"/>
  <c r="O3" i="13"/>
  <c r="T3" i="13"/>
  <c r="Z3" i="13"/>
  <c r="F3" i="13"/>
  <c r="K3" i="13"/>
  <c r="P3" i="13"/>
  <c r="V3" i="13"/>
  <c r="E17" i="13"/>
  <c r="M17" i="13"/>
  <c r="U17" i="13"/>
  <c r="S39" i="13"/>
  <c r="B32" i="13"/>
  <c r="D32" i="13"/>
  <c r="B33" i="13"/>
  <c r="A33" i="13"/>
  <c r="D33" i="13"/>
  <c r="B37" i="13"/>
  <c r="A37" i="13"/>
  <c r="D37" i="13"/>
  <c r="B40" i="13"/>
  <c r="D40" i="13"/>
  <c r="A53" i="13"/>
  <c r="AC45" i="13"/>
  <c r="AC53" i="13"/>
  <c r="S65" i="13"/>
  <c r="F10" i="13"/>
  <c r="J10" i="13"/>
  <c r="N10" i="13"/>
  <c r="R10" i="13"/>
  <c r="V10" i="13"/>
  <c r="D31" i="13"/>
  <c r="D54" i="13" s="1"/>
  <c r="D39" i="13"/>
  <c r="D41" i="13"/>
  <c r="AC41" i="13"/>
  <c r="D53" i="13"/>
  <c r="AC36" i="13"/>
  <c r="AC48" i="13"/>
  <c r="E43" i="14"/>
  <c r="E42" i="14"/>
  <c r="E51" i="14"/>
  <c r="AA37" i="13"/>
  <c r="E53" i="13"/>
  <c r="AA33" i="13"/>
  <c r="A33" i="17" l="1"/>
  <c r="A39" i="17"/>
  <c r="A43" i="17"/>
  <c r="A49" i="17"/>
  <c r="A37" i="17"/>
  <c r="A41" i="17"/>
  <c r="A47" i="17"/>
  <c r="A40" i="17"/>
  <c r="A38" i="17"/>
  <c r="D54" i="17"/>
  <c r="A35" i="17"/>
  <c r="A52" i="17"/>
  <c r="A51" i="17"/>
  <c r="A44" i="17"/>
  <c r="AC30" i="17"/>
  <c r="AC38" i="17"/>
  <c r="AC35" i="17"/>
  <c r="A36" i="17"/>
  <c r="A50" i="17"/>
  <c r="A46" i="17"/>
  <c r="A42" i="17"/>
  <c r="A34" i="17"/>
  <c r="A32" i="17"/>
  <c r="A48" i="17"/>
  <c r="A45" i="17"/>
  <c r="AC34" i="13"/>
  <c r="AC37" i="13"/>
  <c r="AC50" i="13"/>
  <c r="AC42" i="13"/>
  <c r="AC49" i="13"/>
  <c r="AC35" i="13"/>
  <c r="AC44" i="13"/>
  <c r="AC51" i="13"/>
  <c r="AC31" i="13"/>
  <c r="AC43" i="13"/>
  <c r="AC39" i="13"/>
  <c r="AC32" i="13"/>
  <c r="AC47" i="13"/>
  <c r="A35" i="14"/>
  <c r="AC46" i="14"/>
  <c r="AC34" i="14"/>
  <c r="A49" i="14"/>
  <c r="AC32" i="14"/>
  <c r="AC49" i="14"/>
  <c r="AC45" i="14"/>
  <c r="A38" i="14"/>
  <c r="A53" i="14"/>
  <c r="A47" i="14"/>
  <c r="AC53" i="14"/>
  <c r="AC37" i="14"/>
  <c r="AC40" i="14"/>
  <c r="AC50" i="14"/>
  <c r="A37" i="14"/>
  <c r="A41" i="14"/>
  <c r="A39" i="14"/>
  <c r="A31" i="14"/>
  <c r="A52" i="14"/>
  <c r="A46" i="14"/>
  <c r="A50" i="14"/>
  <c r="A48" i="14"/>
  <c r="A36" i="14"/>
  <c r="A44" i="14"/>
  <c r="A34" i="14"/>
  <c r="A30" i="14"/>
  <c r="AC44" i="14"/>
  <c r="AC42" i="14"/>
  <c r="AC39" i="14"/>
  <c r="AC51" i="14"/>
  <c r="AC47" i="14"/>
  <c r="AC43" i="14"/>
  <c r="AC35" i="14"/>
  <c r="AC52" i="14"/>
  <c r="AC38" i="14"/>
  <c r="A40" i="13"/>
  <c r="A31" i="13"/>
  <c r="A41" i="13"/>
  <c r="A35" i="13"/>
  <c r="A39" i="13"/>
  <c r="AC38" i="13"/>
  <c r="AC30" i="13"/>
  <c r="AC40" i="13"/>
  <c r="A49" i="13"/>
  <c r="A42" i="13"/>
  <c r="A38" i="13"/>
  <c r="A52" i="13"/>
  <c r="A48" i="13"/>
  <c r="A44" i="13"/>
  <c r="A34" i="13"/>
  <c r="A30" i="13"/>
  <c r="A50" i="13"/>
  <c r="A46" i="13"/>
  <c r="A36" i="13"/>
  <c r="A32" i="13"/>
  <c r="A51" i="13"/>
  <c r="A47" i="13"/>
  <c r="A43" i="13"/>
  <c r="AC52" i="13"/>
  <c r="AA40" i="17"/>
  <c r="AA30" i="17"/>
  <c r="AA48" i="17"/>
  <c r="AA53" i="17"/>
  <c r="AA51" i="17"/>
  <c r="E53" i="17"/>
  <c r="E39" i="17"/>
  <c r="E51" i="17"/>
  <c r="E37" i="17"/>
  <c r="E33" i="17"/>
  <c r="E48" i="17"/>
  <c r="E44" i="17"/>
  <c r="E38" i="17"/>
  <c r="E31" i="17"/>
  <c r="AA31" i="17"/>
  <c r="AA39" i="17"/>
  <c r="AA49" i="17"/>
  <c r="E30" i="17"/>
  <c r="AA33" i="17"/>
  <c r="AA37" i="17"/>
  <c r="AA38" i="17"/>
  <c r="AA42" i="17"/>
  <c r="AA45" i="17"/>
  <c r="AA52" i="17"/>
  <c r="AA41" i="17"/>
  <c r="AA44" i="17"/>
  <c r="AA36" i="17"/>
  <c r="AA34" i="17"/>
  <c r="E49" i="17"/>
  <c r="AA43" i="17"/>
  <c r="E47" i="17"/>
  <c r="E35" i="17"/>
  <c r="AA50" i="17"/>
  <c r="E32" i="17"/>
  <c r="E40" i="17"/>
  <c r="AA46" i="17"/>
  <c r="AA32" i="14"/>
  <c r="AA45" i="14"/>
  <c r="AA42" i="14"/>
  <c r="E32" i="14"/>
  <c r="E45" i="14"/>
  <c r="E40" i="14"/>
  <c r="AA33" i="14"/>
  <c r="AA43" i="14"/>
  <c r="AA40" i="14"/>
  <c r="E33" i="14"/>
  <c r="AA51" i="14"/>
  <c r="E45" i="13"/>
  <c r="AA45" i="13"/>
  <c r="E33" i="13"/>
  <c r="E37" i="13"/>
  <c r="AA53" i="13"/>
  <c r="AC54" i="17" l="1"/>
  <c r="AD54" i="14"/>
  <c r="AE46" i="14" s="1"/>
  <c r="AC54" i="14"/>
  <c r="AC54" i="13"/>
  <c r="E52" i="17"/>
  <c r="E41" i="17"/>
  <c r="AA47" i="17"/>
  <c r="E42" i="17"/>
  <c r="E50" i="17"/>
  <c r="AA35" i="17"/>
  <c r="E43" i="17"/>
  <c r="E45" i="17"/>
  <c r="E34" i="17"/>
  <c r="AA32" i="17"/>
  <c r="E36" i="17"/>
  <c r="E46" i="17"/>
  <c r="AA46" i="14"/>
  <c r="E36" i="14"/>
  <c r="E30" i="14"/>
  <c r="E31" i="14"/>
  <c r="AA38" i="14"/>
  <c r="E44" i="14"/>
  <c r="E53" i="14"/>
  <c r="AA34" i="14"/>
  <c r="AA39" i="14"/>
  <c r="AA41" i="14"/>
  <c r="E48" i="14"/>
  <c r="AA49" i="14"/>
  <c r="AA47" i="14"/>
  <c r="AA35" i="14"/>
  <c r="E37" i="14"/>
  <c r="E52" i="14"/>
  <c r="E39" i="14"/>
  <c r="E46" i="14"/>
  <c r="AA36" i="14"/>
  <c r="AA30" i="14"/>
  <c r="AA31" i="14"/>
  <c r="E38" i="14"/>
  <c r="AA44" i="14"/>
  <c r="AA53" i="14"/>
  <c r="AA50" i="14"/>
  <c r="E47" i="14"/>
  <c r="E35" i="14"/>
  <c r="AA37" i="14"/>
  <c r="AA52" i="14"/>
  <c r="E50" i="14"/>
  <c r="E41" i="14"/>
  <c r="AA48" i="14"/>
  <c r="E49" i="14"/>
  <c r="E34" i="14"/>
  <c r="E30" i="13"/>
  <c r="E40" i="13"/>
  <c r="E36" i="13"/>
  <c r="E38" i="13"/>
  <c r="AA35" i="13"/>
  <c r="AA52" i="13"/>
  <c r="AA46" i="13"/>
  <c r="AA42" i="13"/>
  <c r="AA41" i="13"/>
  <c r="E50" i="13"/>
  <c r="AA31" i="13"/>
  <c r="E47" i="13"/>
  <c r="E34" i="13"/>
  <c r="E46" i="13"/>
  <c r="E48" i="13"/>
  <c r="AA30" i="13"/>
  <c r="AA40" i="13"/>
  <c r="AA36" i="13"/>
  <c r="AA38" i="13"/>
  <c r="AA43" i="13"/>
  <c r="AA51" i="13"/>
  <c r="E44" i="13"/>
  <c r="E49" i="13"/>
  <c r="AA50" i="13"/>
  <c r="AA39" i="13"/>
  <c r="E52" i="13"/>
  <c r="E42" i="13"/>
  <c r="E32" i="13"/>
  <c r="AA47" i="13"/>
  <c r="AA34" i="13"/>
  <c r="E43" i="13"/>
  <c r="E51" i="13"/>
  <c r="AA44" i="13"/>
  <c r="AA49" i="13"/>
  <c r="AA32" i="13"/>
  <c r="AA48" i="13"/>
  <c r="E39" i="13"/>
  <c r="E35" i="13"/>
  <c r="E41" i="13"/>
  <c r="E31" i="13"/>
  <c r="AD54" i="17" l="1"/>
  <c r="AE30" i="17" s="1"/>
  <c r="E54" i="17"/>
  <c r="AE34" i="14"/>
  <c r="AE38" i="14"/>
  <c r="AE52" i="14"/>
  <c r="AE32" i="14"/>
  <c r="E54" i="14"/>
  <c r="AF53" i="14"/>
  <c r="AF32" i="14"/>
  <c r="AF37" i="14"/>
  <c r="AE31" i="14"/>
  <c r="AE33" i="14"/>
  <c r="AE41" i="14"/>
  <c r="AE36" i="14"/>
  <c r="AE48" i="14"/>
  <c r="AE50" i="14"/>
  <c r="AE49" i="14"/>
  <c r="AE42" i="14"/>
  <c r="AE44" i="14"/>
  <c r="AE30" i="14"/>
  <c r="AE45" i="14"/>
  <c r="AE39" i="14"/>
  <c r="AE53" i="14"/>
  <c r="AE37" i="14"/>
  <c r="AE47" i="14"/>
  <c r="AE40" i="14"/>
  <c r="AE43" i="14"/>
  <c r="AE35" i="14"/>
  <c r="AE51" i="14"/>
  <c r="E54" i="13"/>
  <c r="AD54" i="13"/>
  <c r="AF53" i="17" l="1"/>
  <c r="AF37" i="17"/>
  <c r="AF32" i="17"/>
  <c r="AE44" i="17"/>
  <c r="AE34" i="17"/>
  <c r="AE46" i="17"/>
  <c r="AE39" i="17"/>
  <c r="AE47" i="17"/>
  <c r="AE52" i="17"/>
  <c r="AE53" i="17"/>
  <c r="AE50" i="17"/>
  <c r="AE42" i="17"/>
  <c r="AE51" i="17"/>
  <c r="AE36" i="17"/>
  <c r="AE49" i="17"/>
  <c r="AE43" i="17"/>
  <c r="AE32" i="17"/>
  <c r="AE45" i="17"/>
  <c r="AE48" i="17"/>
  <c r="AE33" i="17"/>
  <c r="AE41" i="17"/>
  <c r="AE31" i="17"/>
  <c r="AE37" i="17"/>
  <c r="AE40" i="17"/>
  <c r="AE35" i="17"/>
  <c r="AE38" i="17"/>
  <c r="AF32" i="13"/>
  <c r="AF37" i="13"/>
  <c r="AF53" i="13"/>
  <c r="AE34" i="13"/>
  <c r="AE53" i="13"/>
  <c r="AE49" i="13"/>
  <c r="AE46" i="13"/>
  <c r="AE39" i="13"/>
  <c r="AE33" i="13"/>
  <c r="AE51" i="13"/>
  <c r="AE50" i="13"/>
  <c r="AE35" i="13"/>
  <c r="AE32" i="13"/>
  <c r="AE45" i="13"/>
  <c r="AE42" i="13"/>
  <c r="AE36" i="13"/>
  <c r="AE37" i="13"/>
  <c r="AE31" i="13"/>
  <c r="AE41" i="13"/>
  <c r="AE47" i="13"/>
  <c r="AE44" i="13"/>
  <c r="AE48" i="13"/>
  <c r="AE43" i="13"/>
  <c r="AE40" i="13"/>
  <c r="AE52" i="13"/>
  <c r="AE38" i="13"/>
  <c r="AE30" i="13"/>
  <c r="A29" i="1" l="1"/>
  <c r="B1" i="1"/>
  <c r="S65" i="1"/>
  <c r="S52" i="1"/>
  <c r="O52" i="1"/>
  <c r="O65" i="1"/>
  <c r="AA30" i="1"/>
  <c r="H31" i="1" l="1"/>
  <c r="H32" i="1"/>
  <c r="H30" i="1"/>
  <c r="AD3" i="1"/>
  <c r="AD10" i="1"/>
  <c r="AD17" i="1"/>
  <c r="T21" i="1" l="1"/>
  <c r="U21" i="1"/>
  <c r="V21" i="1"/>
  <c r="W21" i="1"/>
  <c r="X21" i="1"/>
  <c r="Y21" i="1"/>
  <c r="Z21" i="1"/>
  <c r="T14" i="1"/>
  <c r="U14" i="1"/>
  <c r="V14" i="1"/>
  <c r="W14" i="1"/>
  <c r="X14" i="1"/>
  <c r="Y14" i="1"/>
  <c r="Z14" i="1"/>
  <c r="T7" i="1"/>
  <c r="U7" i="1"/>
  <c r="V7" i="1"/>
  <c r="W7" i="1"/>
  <c r="X7" i="1"/>
  <c r="Y7" i="1"/>
  <c r="Z7" i="1"/>
  <c r="AC20" i="1"/>
  <c r="AC19" i="1"/>
  <c r="AC18" i="1"/>
  <c r="AC13" i="1"/>
  <c r="AC12" i="1"/>
  <c r="AC11" i="1"/>
  <c r="AC6" i="1"/>
  <c r="AC5" i="1"/>
  <c r="AC4" i="1"/>
  <c r="Q65" i="1"/>
  <c r="P65" i="1"/>
  <c r="O54" i="1"/>
  <c r="U65" i="1"/>
  <c r="T65" i="1"/>
  <c r="U52" i="1"/>
  <c r="T52" i="1"/>
  <c r="U39" i="1"/>
  <c r="T39" i="1"/>
  <c r="S39" i="1" s="1"/>
  <c r="Q52" i="1"/>
  <c r="P52" i="1"/>
  <c r="S64" i="1"/>
  <c r="S63" i="1"/>
  <c r="S62" i="1"/>
  <c r="S61" i="1"/>
  <c r="S60" i="1"/>
  <c r="S59" i="1"/>
  <c r="S58" i="1"/>
  <c r="S57" i="1"/>
  <c r="S56" i="1"/>
  <c r="S31" i="1"/>
  <c r="S32" i="1"/>
  <c r="S33" i="1"/>
  <c r="S34" i="1"/>
  <c r="S35" i="1"/>
  <c r="S36" i="1"/>
  <c r="S37" i="1"/>
  <c r="S38" i="1"/>
  <c r="Q39" i="1" l="1"/>
  <c r="P39" i="1"/>
  <c r="O39" i="1" s="1"/>
  <c r="S51" i="1"/>
  <c r="S50" i="1"/>
  <c r="S49" i="1"/>
  <c r="S48" i="1"/>
  <c r="S47" i="1"/>
  <c r="S46" i="1"/>
  <c r="S45" i="1"/>
  <c r="S44" i="1"/>
  <c r="S43" i="1"/>
  <c r="S30" i="1"/>
  <c r="AB19" i="1"/>
  <c r="AB20" i="1"/>
  <c r="AB18" i="1"/>
  <c r="AA19" i="1"/>
  <c r="AA20" i="1"/>
  <c r="AA18" i="1"/>
  <c r="C53" i="1"/>
  <c r="C52" i="1"/>
  <c r="D52" i="1" s="1"/>
  <c r="C31" i="1"/>
  <c r="C32" i="1"/>
  <c r="D32" i="1" s="1"/>
  <c r="C33" i="1"/>
  <c r="D33" i="1" s="1"/>
  <c r="C34" i="1"/>
  <c r="D34" i="1" s="1"/>
  <c r="C35" i="1"/>
  <c r="C36" i="1"/>
  <c r="D36" i="1" s="1"/>
  <c r="C37" i="1"/>
  <c r="D37" i="1" s="1"/>
  <c r="C38" i="1"/>
  <c r="D38" i="1" s="1"/>
  <c r="C39" i="1"/>
  <c r="C40" i="1"/>
  <c r="D40" i="1" s="1"/>
  <c r="C41" i="1"/>
  <c r="D41" i="1" s="1"/>
  <c r="C42" i="1"/>
  <c r="D42" i="1" s="1"/>
  <c r="C43" i="1"/>
  <c r="C44" i="1"/>
  <c r="D44" i="1" s="1"/>
  <c r="C45" i="1"/>
  <c r="D45" i="1" s="1"/>
  <c r="C46" i="1"/>
  <c r="D46" i="1" s="1"/>
  <c r="C47" i="1"/>
  <c r="C48" i="1"/>
  <c r="D48" i="1" s="1"/>
  <c r="C49" i="1"/>
  <c r="C50" i="1"/>
  <c r="D50" i="1" s="1"/>
  <c r="C51" i="1"/>
  <c r="C30" i="1"/>
  <c r="D30" i="1" s="1"/>
  <c r="AB5" i="1"/>
  <c r="AB6" i="1"/>
  <c r="AB4" i="1"/>
  <c r="AA5" i="1"/>
  <c r="AA6" i="1"/>
  <c r="AA4" i="1"/>
  <c r="C17" i="1" a="1"/>
  <c r="Y17" i="1" s="1"/>
  <c r="C10" i="1" a="1"/>
  <c r="Z10" i="1" s="1"/>
  <c r="C3" i="1" a="1"/>
  <c r="C3" i="1" s="1"/>
  <c r="B49" i="1" l="1"/>
  <c r="D49" i="1"/>
  <c r="B53" i="1"/>
  <c r="D53" i="1"/>
  <c r="B51" i="1"/>
  <c r="D51" i="1"/>
  <c r="B47" i="1"/>
  <c r="D47" i="1"/>
  <c r="B43" i="1"/>
  <c r="D43" i="1"/>
  <c r="B39" i="1"/>
  <c r="D39" i="1"/>
  <c r="B35" i="1"/>
  <c r="D35" i="1"/>
  <c r="B31" i="1"/>
  <c r="D31" i="1"/>
  <c r="AC31" i="1"/>
  <c r="AC35" i="1"/>
  <c r="AC39" i="1"/>
  <c r="AC43" i="1"/>
  <c r="AC47" i="1"/>
  <c r="AC51" i="1"/>
  <c r="AC42" i="1"/>
  <c r="AC30" i="1"/>
  <c r="AC32" i="1"/>
  <c r="AC36" i="1"/>
  <c r="AC40" i="1"/>
  <c r="AC44" i="1"/>
  <c r="AC48" i="1"/>
  <c r="AC52" i="1"/>
  <c r="AC33" i="1"/>
  <c r="AC37" i="1"/>
  <c r="AC41" i="1"/>
  <c r="AC45" i="1"/>
  <c r="AC49" i="1"/>
  <c r="AC53" i="1"/>
  <c r="AC34" i="1"/>
  <c r="AC38" i="1"/>
  <c r="AC46" i="1"/>
  <c r="AC50" i="1"/>
  <c r="A30" i="1"/>
  <c r="B30" i="1"/>
  <c r="B50" i="1"/>
  <c r="B46" i="1"/>
  <c r="B42" i="1"/>
  <c r="B38" i="1"/>
  <c r="B34" i="1"/>
  <c r="B45" i="1"/>
  <c r="B41" i="1"/>
  <c r="B37" i="1"/>
  <c r="B33" i="1"/>
  <c r="B52" i="1"/>
  <c r="B48" i="1"/>
  <c r="B44" i="1"/>
  <c r="B40" i="1"/>
  <c r="B36" i="1"/>
  <c r="B32" i="1"/>
  <c r="J17" i="1"/>
  <c r="R17" i="1"/>
  <c r="Z17" i="1"/>
  <c r="C17" i="1"/>
  <c r="K17" i="1"/>
  <c r="S17" i="1"/>
  <c r="D17" i="1"/>
  <c r="H17" i="1"/>
  <c r="L17" i="1"/>
  <c r="P17" i="1"/>
  <c r="T17" i="1"/>
  <c r="X17" i="1"/>
  <c r="F17" i="1"/>
  <c r="N17" i="1"/>
  <c r="V17" i="1"/>
  <c r="G17" i="1"/>
  <c r="O17" i="1"/>
  <c r="W17" i="1"/>
  <c r="E17" i="1"/>
  <c r="I17" i="1"/>
  <c r="M17" i="1"/>
  <c r="Q17" i="1"/>
  <c r="U17" i="1"/>
  <c r="C10" i="1"/>
  <c r="G10" i="1"/>
  <c r="K10" i="1"/>
  <c r="O10" i="1"/>
  <c r="S10" i="1"/>
  <c r="W10" i="1"/>
  <c r="D10" i="1"/>
  <c r="H10" i="1"/>
  <c r="L10" i="1"/>
  <c r="P10" i="1"/>
  <c r="T10" i="1"/>
  <c r="X10" i="1"/>
  <c r="E10" i="1"/>
  <c r="I10" i="1"/>
  <c r="M10" i="1"/>
  <c r="Q10" i="1"/>
  <c r="U10" i="1"/>
  <c r="Y10" i="1"/>
  <c r="F10" i="1"/>
  <c r="J10" i="1"/>
  <c r="N10" i="1"/>
  <c r="R10" i="1"/>
  <c r="V10" i="1"/>
  <c r="Z3" i="1"/>
  <c r="V3" i="1"/>
  <c r="R3" i="1"/>
  <c r="N3" i="1"/>
  <c r="J3" i="1"/>
  <c r="F3" i="1"/>
  <c r="Y3" i="1"/>
  <c r="U3" i="1"/>
  <c r="Q3" i="1"/>
  <c r="M3" i="1"/>
  <c r="I3" i="1"/>
  <c r="E3" i="1"/>
  <c r="X3" i="1"/>
  <c r="T3" i="1"/>
  <c r="P3" i="1"/>
  <c r="L3" i="1"/>
  <c r="H3" i="1"/>
  <c r="D3" i="1"/>
  <c r="A31" i="1" s="1"/>
  <c r="W3" i="1"/>
  <c r="S3" i="1"/>
  <c r="O3" i="1"/>
  <c r="K3" i="1"/>
  <c r="G3" i="1"/>
  <c r="B28" i="1"/>
  <c r="O41" i="1"/>
  <c r="B16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9" i="1"/>
  <c r="B2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AB13" i="1"/>
  <c r="AA13" i="1"/>
  <c r="AB12" i="1"/>
  <c r="AA12" i="1"/>
  <c r="AB11" i="1"/>
  <c r="AA11" i="1"/>
  <c r="O28" i="1"/>
  <c r="G58" i="1"/>
  <c r="G59" i="1"/>
  <c r="G5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C7" i="1"/>
  <c r="AC7" i="1"/>
  <c r="AB7" i="1"/>
  <c r="AA7" i="1"/>
  <c r="D54" i="1" l="1"/>
  <c r="AA14" i="1"/>
  <c r="AC14" i="1" l="1"/>
  <c r="A53" i="1"/>
  <c r="A50" i="1"/>
  <c r="A47" i="1"/>
  <c r="A45" i="1"/>
  <c r="AB14" i="1"/>
  <c r="A35" i="1"/>
  <c r="A40" i="1"/>
  <c r="A33" i="1"/>
  <c r="A49" i="1"/>
  <c r="A42" i="1"/>
  <c r="A36" i="1"/>
  <c r="A38" i="1"/>
  <c r="A39" i="1"/>
  <c r="A44" i="1"/>
  <c r="A37" i="1"/>
  <c r="A52" i="1"/>
  <c r="A46" i="1"/>
  <c r="A51" i="1"/>
  <c r="A43" i="1"/>
  <c r="A32" i="1"/>
  <c r="A48" i="1"/>
  <c r="A41" i="1"/>
  <c r="A34" i="1"/>
  <c r="AB21" i="1"/>
  <c r="AA21" i="1"/>
  <c r="AC21" i="1"/>
  <c r="E51" i="1"/>
  <c r="AA40" i="1"/>
  <c r="AA49" i="1"/>
  <c r="AA41" i="1"/>
  <c r="E43" i="1"/>
  <c r="E38" i="1"/>
  <c r="E31" i="1"/>
  <c r="AA48" i="1"/>
  <c r="E48" i="1"/>
  <c r="E39" i="1"/>
  <c r="E33" i="1"/>
  <c r="E50" i="1"/>
  <c r="E40" i="1"/>
  <c r="AA52" i="1"/>
  <c r="AA35" i="1"/>
  <c r="AA33" i="1"/>
  <c r="AA45" i="1"/>
  <c r="E41" i="1"/>
  <c r="E49" i="1"/>
  <c r="E45" i="1"/>
  <c r="E30" i="1"/>
  <c r="E34" i="1"/>
  <c r="AA46" i="1"/>
  <c r="AA32" i="1"/>
  <c r="AA42" i="1"/>
  <c r="E35" i="1"/>
  <c r="AA50" i="1"/>
  <c r="AA53" i="1"/>
  <c r="AA38" i="1"/>
  <c r="AA51" i="1"/>
  <c r="E44" i="1"/>
  <c r="E52" i="1"/>
  <c r="AA44" i="1"/>
  <c r="AA36" i="1"/>
  <c r="E53" i="1"/>
  <c r="AD52" i="1" l="1"/>
  <c r="AD48" i="1"/>
  <c r="AD44" i="1"/>
  <c r="AD51" i="1"/>
  <c r="AD47" i="1"/>
  <c r="AD50" i="1"/>
  <c r="AD46" i="1"/>
  <c r="AD49" i="1"/>
  <c r="AD45" i="1"/>
  <c r="AD31" i="1"/>
  <c r="AD39" i="1"/>
  <c r="AD32" i="1"/>
  <c r="AD40" i="1"/>
  <c r="AD33" i="1"/>
  <c r="AD41" i="1"/>
  <c r="AD34" i="1"/>
  <c r="AD42" i="1"/>
  <c r="AD35" i="1"/>
  <c r="AD43" i="1"/>
  <c r="AD36" i="1"/>
  <c r="AD37" i="1"/>
  <c r="AD38" i="1"/>
  <c r="E32" i="1"/>
  <c r="AA31" i="1"/>
  <c r="AA37" i="1"/>
  <c r="E47" i="1"/>
  <c r="E37" i="1"/>
  <c r="E42" i="1"/>
  <c r="AA39" i="1"/>
  <c r="E46" i="1"/>
  <c r="AA34" i="1"/>
  <c r="AA47" i="1"/>
  <c r="AA43" i="1"/>
  <c r="E36" i="1"/>
  <c r="E54" i="1" l="1"/>
  <c r="AC54" i="1"/>
  <c r="AD53" i="1"/>
  <c r="AD30" i="1"/>
  <c r="AD54" i="1" l="1"/>
  <c r="AE30" i="1" s="1"/>
  <c r="AF32" i="1"/>
  <c r="AE45" i="1" l="1"/>
  <c r="AE51" i="1"/>
  <c r="AE44" i="1"/>
  <c r="AE48" i="1"/>
  <c r="AE42" i="1"/>
  <c r="AE53" i="1"/>
  <c r="AE35" i="1"/>
  <c r="AE50" i="1"/>
  <c r="AE36" i="1"/>
  <c r="AE43" i="1"/>
  <c r="AE33" i="1"/>
  <c r="AF37" i="1"/>
  <c r="AE32" i="1"/>
  <c r="AE39" i="1"/>
  <c r="AE37" i="1"/>
  <c r="AE40" i="1"/>
  <c r="AE49" i="1"/>
  <c r="AE46" i="1"/>
  <c r="AF53" i="1"/>
  <c r="AE47" i="1"/>
  <c r="AE34" i="1"/>
  <c r="AE41" i="1"/>
  <c r="AE31" i="1"/>
  <c r="AE52" i="1"/>
  <c r="AE38" i="1"/>
</calcChain>
</file>

<file path=xl/sharedStrings.xml><?xml version="1.0" encoding="utf-8"?>
<sst xmlns="http://schemas.openxmlformats.org/spreadsheetml/2006/main" count="518" uniqueCount="76">
  <si>
    <t>Bank</t>
  </si>
  <si>
    <t>Slot1</t>
  </si>
  <si>
    <t>Slot2</t>
  </si>
  <si>
    <t>Slot3</t>
  </si>
  <si>
    <t>Size</t>
  </si>
  <si>
    <t>Tier</t>
  </si>
  <si>
    <t>Min</t>
  </si>
  <si>
    <t>Max</t>
  </si>
  <si>
    <t>Average</t>
  </si>
  <si>
    <t>SCB</t>
  </si>
  <si>
    <t>TMB</t>
  </si>
  <si>
    <t>BBL</t>
  </si>
  <si>
    <t>KBANK</t>
  </si>
  <si>
    <t>BNP</t>
  </si>
  <si>
    <t>KTB</t>
  </si>
  <si>
    <t>GSB</t>
  </si>
  <si>
    <t>HSBC</t>
  </si>
  <si>
    <t>Rank</t>
  </si>
  <si>
    <t>Amount</t>
  </si>
  <si>
    <t>Auction Result</t>
  </si>
  <si>
    <t>Auction Amt.</t>
  </si>
  <si>
    <t>BCR</t>
  </si>
  <si>
    <t>Input Auction</t>
  </si>
  <si>
    <t>T+2</t>
  </si>
  <si>
    <t>T+3</t>
  </si>
  <si>
    <t>Yied(%)</t>
  </si>
  <si>
    <t>Bonds</t>
  </si>
  <si>
    <t>CB19207A</t>
  </si>
  <si>
    <t>Available</t>
  </si>
  <si>
    <t>Institution tier limit</t>
  </si>
  <si>
    <t>Tier 1</t>
  </si>
  <si>
    <t>Tier 2</t>
  </si>
  <si>
    <t>Tier 3</t>
  </si>
  <si>
    <t>% Limit</t>
  </si>
  <si>
    <t>CIMBT</t>
  </si>
  <si>
    <t>BAY</t>
  </si>
  <si>
    <t>TBANK</t>
  </si>
  <si>
    <t>TISCOBANK</t>
  </si>
  <si>
    <t>SCBT</t>
  </si>
  <si>
    <t>CITIBANK</t>
  </si>
  <si>
    <t>KKP</t>
  </si>
  <si>
    <t>UOBT</t>
  </si>
  <si>
    <t>KGI</t>
  </si>
  <si>
    <t>BAML</t>
  </si>
  <si>
    <t>JP_MORGAN</t>
  </si>
  <si>
    <t>ANZT</t>
  </si>
  <si>
    <t>DEUTSCHE_BANK</t>
  </si>
  <si>
    <t>CNS</t>
  </si>
  <si>
    <t>PHATRA</t>
  </si>
  <si>
    <t>MBKET</t>
  </si>
  <si>
    <t>CB19209A</t>
  </si>
  <si>
    <t>% Portion</t>
  </si>
  <si>
    <t>BET(T+2)</t>
  </si>
  <si>
    <t>BET(T+3)</t>
  </si>
  <si>
    <t>Instiitution tier and Condition Table</t>
  </si>
  <si>
    <t>Last Exec.Yield %</t>
  </si>
  <si>
    <t>Model Yield(%)</t>
  </si>
  <si>
    <t>Market Yield(%)</t>
  </si>
  <si>
    <t>Convexity</t>
  </si>
  <si>
    <t>CB19214A</t>
  </si>
  <si>
    <t>CB19221A</t>
  </si>
  <si>
    <t>CB19228A</t>
  </si>
  <si>
    <t>TB19327A</t>
  </si>
  <si>
    <t>Note</t>
  </si>
  <si>
    <t>Impiled Yield</t>
  </si>
  <si>
    <t>Cumulative</t>
  </si>
  <si>
    <t>LastTradeDate</t>
  </si>
  <si>
    <t>Mod. Duration</t>
  </si>
  <si>
    <t>Remaining -&gt;</t>
  </si>
  <si>
    <t>Miss Target -&gt;</t>
  </si>
  <si>
    <t>ThaiBMA Result</t>
  </si>
  <si>
    <t>25Sep18</t>
  </si>
  <si>
    <t>8Oct18</t>
  </si>
  <si>
    <t>2Oct18</t>
  </si>
  <si>
    <t>Avg. Yied(%)</t>
  </si>
  <si>
    <t>Mkt. Yield(%)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</si>
</sst>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87" formatCode="0.000"/>
    <numFmt numFmtId="188" formatCode="0.0000"/>
  </numFmts>
  <fonts count="1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rgb="FF006100"/>
      <name val="Tahoma"/>
      <family val="2"/>
      <scheme val="minor"/>
    </font>
    <font>
      <sz val="11"/>
      <color rgb="FF3F3F76"/>
      <name val="Tahoma"/>
      <family val="2"/>
      <scheme val="minor"/>
    </font>
    <font>
      <b/>
      <sz val="11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theme="0"/>
      <name val="Tahoma"/>
      <family val="2"/>
      <scheme val="minor"/>
    </font>
    <font>
      <b/>
      <sz val="11"/>
      <color rgb="FF7030A0"/>
      <name val="Tahoma"/>
      <family val="2"/>
      <scheme val="minor"/>
    </font>
    <font>
      <b/>
      <sz val="11"/>
      <color theme="7" tint="-0.249977111117893"/>
      <name val="Tahoma"/>
      <family val="2"/>
      <scheme val="minor"/>
    </font>
    <font>
      <b/>
      <sz val="11"/>
      <color theme="8" tint="-0.499984740745262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name val="Tahom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1" fillId="0" borderId="0"/>
  </cellStyleXfs>
  <cellXfs count="68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4" fillId="0" borderId="0" xfId="0" applyFont="1"/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3" fillId="3" borderId="1" xfId="4" applyAlignment="1">
      <alignment horizontal="center"/>
    </xf>
    <xf numFmtId="0" fontId="4" fillId="0" borderId="2" xfId="0" applyFont="1" applyFill="1" applyBorder="1" applyAlignment="1">
      <alignment horizontal="center"/>
    </xf>
    <xf numFmtId="43" fontId="0" fillId="0" borderId="2" xfId="1" applyFont="1" applyBorder="1"/>
    <xf numFmtId="0" fontId="3" fillId="3" borderId="1" xfId="4"/>
    <xf numFmtId="9" fontId="3" fillId="3" borderId="1" xfId="4" applyNumberFormat="1"/>
    <xf numFmtId="0" fontId="4" fillId="4" borderId="2" xfId="0" applyFont="1" applyFill="1" applyBorder="1" applyAlignment="1">
      <alignment horizontal="center"/>
    </xf>
    <xf numFmtId="0" fontId="3" fillId="3" borderId="4" xfId="4" applyBorder="1" applyAlignment="1">
      <alignment horizontal="center"/>
    </xf>
    <xf numFmtId="0" fontId="3" fillId="3" borderId="2" xfId="4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3" borderId="1" xfId="4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0" fontId="0" fillId="0" borderId="8" xfId="2" applyNumberFormat="1" applyFont="1" applyBorder="1" applyAlignment="1">
      <alignment horizontal="center"/>
    </xf>
    <xf numFmtId="43" fontId="0" fillId="0" borderId="8" xfId="1" applyFont="1" applyBorder="1"/>
    <xf numFmtId="0" fontId="3" fillId="3" borderId="1" xfId="4" applyAlignment="1">
      <alignment horizontal="left" vertical="center"/>
    </xf>
    <xf numFmtId="0" fontId="4" fillId="0" borderId="2" xfId="0" applyFont="1" applyBorder="1" applyAlignment="1">
      <alignment horizontal="center"/>
    </xf>
    <xf numFmtId="187" fontId="0" fillId="0" borderId="0" xfId="0" applyNumberFormat="1" applyAlignment="1">
      <alignment horizontal="center"/>
    </xf>
    <xf numFmtId="187" fontId="2" fillId="2" borderId="2" xfId="3" applyNumberFormat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187" fontId="0" fillId="0" borderId="2" xfId="0" applyNumberFormat="1" applyBorder="1"/>
    <xf numFmtId="0" fontId="3" fillId="3" borderId="2" xfId="4" applyBorder="1"/>
    <xf numFmtId="10" fontId="0" fillId="0" borderId="3" xfId="2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9" xfId="0" applyBorder="1"/>
    <xf numFmtId="187" fontId="0" fillId="0" borderId="9" xfId="0" applyNumberForma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2" xfId="0" applyFont="1" applyBorder="1"/>
    <xf numFmtId="0" fontId="9" fillId="0" borderId="2" xfId="0" applyFont="1" applyBorder="1"/>
    <xf numFmtId="0" fontId="10" fillId="0" borderId="2" xfId="0" applyFont="1" applyBorder="1"/>
    <xf numFmtId="0" fontId="0" fillId="7" borderId="2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1" fillId="0" borderId="0" xfId="5"/>
    <xf numFmtId="0" fontId="4" fillId="0" borderId="0" xfId="0" applyFont="1" applyAlignment="1">
      <alignment horizontal="right"/>
    </xf>
    <xf numFmtId="14" fontId="0" fillId="0" borderId="2" xfId="0" applyNumberFormat="1" applyBorder="1"/>
    <xf numFmtId="188" fontId="0" fillId="0" borderId="2" xfId="0" applyNumberFormat="1" applyBorder="1"/>
    <xf numFmtId="0" fontId="4" fillId="0" borderId="2" xfId="0" applyFont="1" applyBorder="1" applyAlignment="1">
      <alignment horizontal="left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8" borderId="1" xfId="4" applyFont="1" applyFill="1"/>
    <xf numFmtId="14" fontId="4" fillId="0" borderId="0" xfId="0" applyNumberFormat="1" applyFont="1"/>
    <xf numFmtId="0" fontId="12" fillId="0" borderId="0" xfId="0" applyFont="1"/>
    <xf numFmtId="15" fontId="0" fillId="0" borderId="0" xfId="0" applyNumberFormat="1"/>
    <xf numFmtId="15" fontId="4" fillId="0" borderId="0" xfId="0" applyNumberFormat="1" applyFont="1"/>
    <xf numFmtId="49" fontId="0" fillId="0" borderId="0" xfId="0" applyNumberFormat="1"/>
    <xf numFmtId="0" fontId="4" fillId="0" borderId="9" xfId="0" applyFont="1" applyBorder="1"/>
    <xf numFmtId="43" fontId="4" fillId="0" borderId="2" xfId="1" applyFont="1" applyBorder="1"/>
    <xf numFmtId="43" fontId="4" fillId="0" borderId="8" xfId="1" applyFont="1" applyBorder="1"/>
    <xf numFmtId="187" fontId="4" fillId="0" borderId="9" xfId="0" applyNumberFormat="1" applyFont="1" applyBorder="1"/>
  </cellXfs>
  <cellStyles count="6">
    <cellStyle name="Comma" xfId="1" builtinId="3"/>
    <cellStyle name="Good" xfId="3" builtinId="26"/>
    <cellStyle name="Input" xfId="4" builtinId="20"/>
    <cellStyle name="Normal" xfId="0" builtinId="0"/>
    <cellStyle name="Normal 2 3 12 4" xfId="5" xr:uid="{46101C59-0C9A-4CA2-94FC-CDB299D98255}"/>
    <cellStyle name="Percent" xfId="2" builtinId="5"/>
  </cellStyles>
  <dxfs count="1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860710</xdr:colOff>
      <xdr:row>51</xdr:row>
      <xdr:rowOff>126419</xdr:rowOff>
    </xdr:from>
    <xdr:to>
      <xdr:col>6</xdr:col>
      <xdr:colOff>1013981</xdr:colOff>
      <xdr:row>53</xdr:row>
      <xdr:rowOff>47171</xdr:rowOff>
    </xdr:to>
    <xdr:sp macro="[0]!simulation_allocate" textlink="">
      <xdr:nvSpPr>
        <xdr:cNvPr id="4" name="Rectangle 3">
          <a:extLst>
            <a:ext uri="{FF2B5EF4-FFF2-40B4-BE49-F238E27FC236}">
              <a16:creationId xmlns:a16="http://schemas.microsoft.com/office/drawing/2014/main" id="{B9BD3550-6392-44CE-97D5-57EC71E5D1B2}"/>
            </a:ext>
          </a:extLst>
        </xdr:cNvPr>
        <xdr:cNvSpPr/>
      </xdr:nvSpPr>
      <xdr:spPr>
        <a:xfrm>
          <a:off x="4452996" y="6358490"/>
          <a:ext cx="1024128" cy="30175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8</xdr:col>
      <xdr:colOff>176894</xdr:colOff>
      <xdr:row>51</xdr:row>
      <xdr:rowOff>136072</xdr:rowOff>
    </xdr:from>
    <xdr:to>
      <xdr:col>8</xdr:col>
      <xdr:colOff>1197428</xdr:colOff>
      <xdr:row>53</xdr:row>
      <xdr:rowOff>53610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7D2F2C4F-37B0-4850-A082-BCFA68A4AD7B}"/>
            </a:ext>
          </a:extLst>
        </xdr:cNvPr>
        <xdr:cNvSpPr/>
      </xdr:nvSpPr>
      <xdr:spPr>
        <a:xfrm>
          <a:off x="6817180" y="6368143"/>
          <a:ext cx="1020534" cy="298538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152399</xdr:colOff>
      <xdr:row>51</xdr:row>
      <xdr:rowOff>125185</xdr:rowOff>
    </xdr:from>
    <xdr:to>
      <xdr:col>8</xdr:col>
      <xdr:colOff>19920</xdr:colOff>
      <xdr:row>53</xdr:row>
      <xdr:rowOff>45937</xdr:rowOff>
    </xdr:to>
    <xdr:sp macro="[0]!get_impiled_yield" textlink="">
      <xdr:nvSpPr>
        <xdr:cNvPr id="5" name="Rectangle 4">
          <a:extLst>
            <a:ext uri="{FF2B5EF4-FFF2-40B4-BE49-F238E27FC236}">
              <a16:creationId xmlns:a16="http://schemas.microsoft.com/office/drawing/2014/main" id="{A794C25F-55A0-4CA4-B5BA-01764C64B5FF}"/>
            </a:ext>
          </a:extLst>
        </xdr:cNvPr>
        <xdr:cNvSpPr/>
      </xdr:nvSpPr>
      <xdr:spPr>
        <a:xfrm>
          <a:off x="5636078" y="6357256"/>
          <a:ext cx="1024128" cy="30175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aseline="0"/>
            <a:t>Impiled Yield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860710</xdr:colOff>
      <xdr:row>51</xdr:row>
      <xdr:rowOff>126419</xdr:rowOff>
    </xdr:from>
    <xdr:to>
      <xdr:col>6</xdr:col>
      <xdr:colOff>1013981</xdr:colOff>
      <xdr:row>53</xdr:row>
      <xdr:rowOff>47171</xdr:rowOff>
    </xdr:to>
    <xdr:sp macro="[0]!simulation_allocate" textlink="">
      <xdr:nvSpPr>
        <xdr:cNvPr id="2" name="Rectangle 1">
          <a:extLst>
            <a:ext uri="{FF2B5EF4-FFF2-40B4-BE49-F238E27FC236}">
              <a16:creationId xmlns:a16="http://schemas.microsoft.com/office/drawing/2014/main" id="{2D8D33B5-9253-4DE4-911A-A183FA2ECAB3}"/>
            </a:ext>
          </a:extLst>
        </xdr:cNvPr>
        <xdr:cNvSpPr/>
      </xdr:nvSpPr>
      <xdr:spPr>
        <a:xfrm>
          <a:off x="4451635" y="7594019"/>
          <a:ext cx="1020046" cy="30175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8</xdr:col>
      <xdr:colOff>176894</xdr:colOff>
      <xdr:row>51</xdr:row>
      <xdr:rowOff>136072</xdr:rowOff>
    </xdr:from>
    <xdr:to>
      <xdr:col>8</xdr:col>
      <xdr:colOff>1197428</xdr:colOff>
      <xdr:row>53</xdr:row>
      <xdr:rowOff>53610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FD0ACA3E-FB17-4424-B987-FAD11C29FD31}"/>
            </a:ext>
          </a:extLst>
        </xdr:cNvPr>
        <xdr:cNvSpPr/>
      </xdr:nvSpPr>
      <xdr:spPr>
        <a:xfrm>
          <a:off x="6815819" y="7603672"/>
          <a:ext cx="1020534" cy="298538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152399</xdr:colOff>
      <xdr:row>51</xdr:row>
      <xdr:rowOff>125185</xdr:rowOff>
    </xdr:from>
    <xdr:to>
      <xdr:col>8</xdr:col>
      <xdr:colOff>19920</xdr:colOff>
      <xdr:row>53</xdr:row>
      <xdr:rowOff>45937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0BA00912-1987-466E-8642-6CAFD7ED3767}"/>
            </a:ext>
          </a:extLst>
        </xdr:cNvPr>
        <xdr:cNvSpPr/>
      </xdr:nvSpPr>
      <xdr:spPr>
        <a:xfrm>
          <a:off x="5629274" y="7592785"/>
          <a:ext cx="1029571" cy="30175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aseline="0"/>
            <a:t>Impiled Yield</a:t>
          </a:r>
        </a:p>
      </xdr:txBody>
    </xdr:sp>
    <xdr:clientData/>
  </xdr:twoCellAnchor>
  <xdr:twoCellAnchor>
    <xdr:from>
      <xdr:col>8</xdr:col>
      <xdr:colOff>1318533</xdr:colOff>
      <xdr:row>51</xdr:row>
      <xdr:rowOff>133351</xdr:rowOff>
    </xdr:from>
    <xdr:to>
      <xdr:col>9</xdr:col>
      <xdr:colOff>951139</xdr:colOff>
      <xdr:row>53</xdr:row>
      <xdr:rowOff>50889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124BDD72-FD9C-46B0-A32D-F6DAE47F164D}"/>
            </a:ext>
          </a:extLst>
        </xdr:cNvPr>
        <xdr:cNvSpPr/>
      </xdr:nvSpPr>
      <xdr:spPr>
        <a:xfrm>
          <a:off x="7958819" y="7453994"/>
          <a:ext cx="1020534" cy="29853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860710</xdr:colOff>
      <xdr:row>51</xdr:row>
      <xdr:rowOff>126419</xdr:rowOff>
    </xdr:from>
    <xdr:to>
      <xdr:col>6</xdr:col>
      <xdr:colOff>1013981</xdr:colOff>
      <xdr:row>53</xdr:row>
      <xdr:rowOff>47171</xdr:rowOff>
    </xdr:to>
    <xdr:sp macro="[0]!simulation_allocate" textlink="">
      <xdr:nvSpPr>
        <xdr:cNvPr id="2" name="Rectangle 1">
          <a:extLst>
            <a:ext uri="{FF2B5EF4-FFF2-40B4-BE49-F238E27FC236}">
              <a16:creationId xmlns:a16="http://schemas.microsoft.com/office/drawing/2014/main" id="{4E612084-CC35-4367-94CF-132CAC92177B}"/>
            </a:ext>
          </a:extLst>
        </xdr:cNvPr>
        <xdr:cNvSpPr/>
      </xdr:nvSpPr>
      <xdr:spPr>
        <a:xfrm>
          <a:off x="4451635" y="7594019"/>
          <a:ext cx="1020046" cy="30175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8</xdr:col>
      <xdr:colOff>176894</xdr:colOff>
      <xdr:row>51</xdr:row>
      <xdr:rowOff>136072</xdr:rowOff>
    </xdr:from>
    <xdr:to>
      <xdr:col>8</xdr:col>
      <xdr:colOff>1197428</xdr:colOff>
      <xdr:row>53</xdr:row>
      <xdr:rowOff>53610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2FF668C1-910A-43FD-857F-346EF72CA2E2}"/>
            </a:ext>
          </a:extLst>
        </xdr:cNvPr>
        <xdr:cNvSpPr/>
      </xdr:nvSpPr>
      <xdr:spPr>
        <a:xfrm>
          <a:off x="6815819" y="7603672"/>
          <a:ext cx="1020534" cy="298538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152399</xdr:colOff>
      <xdr:row>51</xdr:row>
      <xdr:rowOff>125185</xdr:rowOff>
    </xdr:from>
    <xdr:to>
      <xdr:col>8</xdr:col>
      <xdr:colOff>19920</xdr:colOff>
      <xdr:row>53</xdr:row>
      <xdr:rowOff>45937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7F321870-3128-4312-A3DF-150818DBEF23}"/>
            </a:ext>
          </a:extLst>
        </xdr:cNvPr>
        <xdr:cNvSpPr/>
      </xdr:nvSpPr>
      <xdr:spPr>
        <a:xfrm>
          <a:off x="5629274" y="7592785"/>
          <a:ext cx="1029571" cy="30175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aseline="0"/>
            <a:t>Impiled Yield</a:t>
          </a:r>
        </a:p>
      </xdr:txBody>
    </xdr:sp>
    <xdr:clientData/>
  </xdr:twoCellAnchor>
  <xdr:twoCellAnchor>
    <xdr:from>
      <xdr:col>8</xdr:col>
      <xdr:colOff>1347107</xdr:colOff>
      <xdr:row>51</xdr:row>
      <xdr:rowOff>136072</xdr:rowOff>
    </xdr:from>
    <xdr:to>
      <xdr:col>9</xdr:col>
      <xdr:colOff>979713</xdr:colOff>
      <xdr:row>53</xdr:row>
      <xdr:rowOff>53610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29CF2FCD-CA71-4EA0-A415-E20780DBE5A3}"/>
            </a:ext>
          </a:extLst>
        </xdr:cNvPr>
        <xdr:cNvSpPr/>
      </xdr:nvSpPr>
      <xdr:spPr>
        <a:xfrm>
          <a:off x="7987393" y="7456715"/>
          <a:ext cx="1020534" cy="29853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New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860710</xdr:colOff>
      <xdr:row>51</xdr:row>
      <xdr:rowOff>126419</xdr:rowOff>
    </xdr:from>
    <xdr:to>
      <xdr:col>6</xdr:col>
      <xdr:colOff>1013981</xdr:colOff>
      <xdr:row>53</xdr:row>
      <xdr:rowOff>47171</xdr:rowOff>
    </xdr:to>
    <xdr:sp macro="[0]!simulation_allocate" textlink="">
      <xdr:nvSpPr>
        <xdr:cNvPr id="2" name="Rectangle 1">
          <a:extLst>
            <a:ext uri="{FF2B5EF4-FFF2-40B4-BE49-F238E27FC236}">
              <a16:creationId xmlns:a16="http://schemas.microsoft.com/office/drawing/2014/main" id="{1F6886E9-F7FA-4EF9-A0C9-D0AD7B0C5B3F}"/>
            </a:ext>
          </a:extLst>
        </xdr:cNvPr>
        <xdr:cNvSpPr/>
      </xdr:nvSpPr>
      <xdr:spPr>
        <a:xfrm>
          <a:off x="4451635" y="7594019"/>
          <a:ext cx="1020046" cy="30175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8</xdr:col>
      <xdr:colOff>176894</xdr:colOff>
      <xdr:row>51</xdr:row>
      <xdr:rowOff>136072</xdr:rowOff>
    </xdr:from>
    <xdr:to>
      <xdr:col>8</xdr:col>
      <xdr:colOff>1197428</xdr:colOff>
      <xdr:row>53</xdr:row>
      <xdr:rowOff>53610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C3F42F4D-8F28-49F0-903C-2044C7A63B13}"/>
            </a:ext>
          </a:extLst>
        </xdr:cNvPr>
        <xdr:cNvSpPr/>
      </xdr:nvSpPr>
      <xdr:spPr>
        <a:xfrm>
          <a:off x="6815819" y="7603672"/>
          <a:ext cx="1020534" cy="298538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152399</xdr:colOff>
      <xdr:row>51</xdr:row>
      <xdr:rowOff>125185</xdr:rowOff>
    </xdr:from>
    <xdr:to>
      <xdr:col>8</xdr:col>
      <xdr:colOff>19920</xdr:colOff>
      <xdr:row>53</xdr:row>
      <xdr:rowOff>45937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5C2AEBDD-DD2E-4EE0-8853-DA77FC567B04}"/>
            </a:ext>
          </a:extLst>
        </xdr:cNvPr>
        <xdr:cNvSpPr/>
      </xdr:nvSpPr>
      <xdr:spPr>
        <a:xfrm>
          <a:off x="5629274" y="7592785"/>
          <a:ext cx="1029571" cy="30175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aseline="0"/>
            <a:t>Impiled Yield</a:t>
          </a:r>
        </a:p>
      </xdr:txBody>
    </xdr:sp>
    <xdr:clientData/>
  </xdr:twoCellAnchor>
  <xdr:twoCellAnchor>
    <xdr:from>
      <xdr:col>8</xdr:col>
      <xdr:colOff>1347107</xdr:colOff>
      <xdr:row>51</xdr:row>
      <xdr:rowOff>136072</xdr:rowOff>
    </xdr:from>
    <xdr:to>
      <xdr:col>9</xdr:col>
      <xdr:colOff>979713</xdr:colOff>
      <xdr:row>53</xdr:row>
      <xdr:rowOff>53610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DD04E818-AF9F-4CEE-959A-47FEC2AC6120}"/>
            </a:ext>
          </a:extLst>
        </xdr:cNvPr>
        <xdr:cNvSpPr/>
      </xdr:nvSpPr>
      <xdr:spPr>
        <a:xfrm>
          <a:off x="7986032" y="7603672"/>
          <a:ext cx="1013731" cy="29853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New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090E-C668-4318-85DC-1592295F760B}">
  <sheetPr codeName="Sheet1">
    <tabColor theme="9" tint="-0.249977111117893"/>
  </sheetPr>
  <dimension ref="A1:AS66"/>
  <sheetViews>
    <sheetView tabSelected="1" topLeftCell="B12" zoomScale="70" zoomScaleNormal="70" workbookViewId="0">
      <selection activeCell="J34" sqref="J34"/>
    </sheetView>
  </sheetViews>
  <sheetFormatPr defaultRowHeight="14.25" outlineLevelRow="1" outlineLevelCol="1" x14ac:dyDescent="0.2"/>
  <cols>
    <col min="1" max="1" width="8.125" hidden="1" customWidth="1"/>
    <col min="2" max="2" width="9.5" customWidth="1"/>
    <col min="3" max="3" width="12.5" customWidth="1"/>
    <col min="4" max="4" width="13.125" customWidth="1"/>
    <col min="5" max="5" width="14" customWidth="1"/>
    <col min="6" max="6" width="11.375" customWidth="1"/>
    <col min="7" max="7" width="13.375" customWidth="1"/>
    <col min="8" max="8" width="15.25" customWidth="1"/>
    <col min="9" max="9" width="18.125" customWidth="1"/>
    <col min="10" max="10" width="18.625" customWidth="1"/>
    <col min="11" max="11" width="1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2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9" t="str">
        <f xml:space="preserve"> "Auction Dashboard "</f>
        <v xml:space="preserve">Auction Dashboard </v>
      </c>
      <c r="D1" s="62">
        <v>43368</v>
      </c>
      <c r="E1" s="61"/>
    </row>
    <row r="2" spans="2:45" ht="16.149999999999999" customHeight="1" x14ac:dyDescent="0.2">
      <c r="B2" s="51" t="str">
        <f>"Indicative yield : " &amp;G30</f>
        <v>Indicative yield : TB19327A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3"/>
    </row>
    <row r="3" spans="2:45" x14ac:dyDescent="0.2">
      <c r="B3" s="27" t="s">
        <v>0</v>
      </c>
      <c r="C3" s="28" t="str">
        <f t="array" ref="C3:Z3">TRANSPOSE($AB$30:$AB$53)</f>
        <v>BNP</v>
      </c>
      <c r="D3" s="28" t="str">
        <v>BBL</v>
      </c>
      <c r="E3" s="28" t="str">
        <v>KBANK</v>
      </c>
      <c r="F3" s="28" t="str">
        <v>TMB</v>
      </c>
      <c r="G3" s="28" t="str">
        <v>KTB</v>
      </c>
      <c r="H3" s="28" t="str">
        <v>CIMBT</v>
      </c>
      <c r="I3" s="28" t="str">
        <v>BAY</v>
      </c>
      <c r="J3" s="28" t="str">
        <v>SCB</v>
      </c>
      <c r="K3" s="28" t="str">
        <v>TBANK</v>
      </c>
      <c r="L3" s="28" t="str">
        <v>TISCOBANK</v>
      </c>
      <c r="M3" s="28" t="str">
        <v>SCBT</v>
      </c>
      <c r="N3" s="28" t="str">
        <v>HSBC</v>
      </c>
      <c r="O3" s="28" t="str">
        <v>CITIBANK</v>
      </c>
      <c r="P3" s="28" t="str">
        <v>KKP</v>
      </c>
      <c r="Q3" s="28" t="str">
        <v>UOBT</v>
      </c>
      <c r="R3" s="28" t="str">
        <v>GSB</v>
      </c>
      <c r="S3" s="28" t="str">
        <v>KGI</v>
      </c>
      <c r="T3" s="28" t="str">
        <v>BAML</v>
      </c>
      <c r="U3" s="28" t="str">
        <v>JP_MORGAN</v>
      </c>
      <c r="V3" s="28" t="str">
        <v>ANZT</v>
      </c>
      <c r="W3" s="28" t="str">
        <v>DEUTSCHE_BANK</v>
      </c>
      <c r="X3" s="28" t="str">
        <v>CNS</v>
      </c>
      <c r="Y3" s="28" t="str">
        <v>PHATRA</v>
      </c>
      <c r="Z3" s="28" t="str">
        <v>MBKET</v>
      </c>
      <c r="AA3" s="12" t="s">
        <v>6</v>
      </c>
      <c r="AB3" s="12" t="s">
        <v>7</v>
      </c>
      <c r="AC3" s="12" t="s">
        <v>8</v>
      </c>
      <c r="AD3" s="37" t="str">
        <f>G30</f>
        <v>TB19327A</v>
      </c>
      <c r="AS3" s="4"/>
    </row>
    <row r="4" spans="2:45" x14ac:dyDescent="0.2">
      <c r="B4" s="27" t="s">
        <v>1</v>
      </c>
      <c r="C4" s="7"/>
      <c r="D4" s="7">
        <v>2.1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25">
        <f>MIN(C4:Z4)</f>
        <v>2.1</v>
      </c>
      <c r="AB4" s="25">
        <f>MAX(C4:Z4)</f>
        <v>2.1</v>
      </c>
      <c r="AC4" s="25">
        <f>IFERROR(AVERAGE(C4:Z4),0)</f>
        <v>2.1</v>
      </c>
    </row>
    <row r="5" spans="2:45" x14ac:dyDescent="0.2">
      <c r="B5" s="27" t="s">
        <v>2</v>
      </c>
      <c r="C5" s="7"/>
      <c r="D5" s="7"/>
      <c r="E5" s="7"/>
      <c r="F5" s="7">
        <v>2</v>
      </c>
      <c r="G5" s="7"/>
      <c r="H5" s="7"/>
      <c r="I5" s="7"/>
      <c r="J5" s="7"/>
      <c r="K5" s="7"/>
      <c r="L5" s="7">
        <v>1.5</v>
      </c>
      <c r="M5" s="7"/>
      <c r="N5" s="7">
        <v>4</v>
      </c>
      <c r="O5" s="7"/>
      <c r="P5" s="7">
        <v>3</v>
      </c>
      <c r="Q5" s="7"/>
      <c r="R5" s="7"/>
      <c r="S5" s="7"/>
      <c r="T5" s="7"/>
      <c r="U5" s="7"/>
      <c r="V5" s="7"/>
      <c r="W5" s="7"/>
      <c r="X5" s="7"/>
      <c r="Y5" s="7"/>
      <c r="Z5" s="7"/>
      <c r="AA5" s="25">
        <f>MIN(C5:Z5)</f>
        <v>1.5</v>
      </c>
      <c r="AB5" s="25">
        <f>MAX(C5:Z5)</f>
        <v>4</v>
      </c>
      <c r="AC5" s="25">
        <f>IFERROR(AVERAGE(C5:Z5),0)</f>
        <v>2.625</v>
      </c>
    </row>
    <row r="6" spans="2:45" x14ac:dyDescent="0.2">
      <c r="B6" s="27" t="s">
        <v>3</v>
      </c>
      <c r="C6" s="13"/>
      <c r="D6" s="13"/>
      <c r="E6" s="13"/>
      <c r="F6" s="13"/>
      <c r="G6" s="13"/>
      <c r="H6" s="13"/>
      <c r="I6" s="13">
        <v>3</v>
      </c>
      <c r="J6" s="13">
        <v>2.2999999999999998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25">
        <f>MIN(C6:Z6)</f>
        <v>2.2999999999999998</v>
      </c>
      <c r="AB6" s="25">
        <f>MAX(C6:Z6)</f>
        <v>3</v>
      </c>
      <c r="AC6" s="25">
        <f>IFERROR(AVERAGE(C6:Z6),0)</f>
        <v>2.65</v>
      </c>
    </row>
    <row r="7" spans="2:45" x14ac:dyDescent="0.2">
      <c r="B7" s="27" t="s">
        <v>8</v>
      </c>
      <c r="C7" s="29" t="str">
        <f>IFERROR(AVERAGE(C4:C6),"")</f>
        <v/>
      </c>
      <c r="D7" s="29">
        <f t="shared" ref="D7:Z7" si="0">IFERROR(AVERAGE(D4:D6),"")</f>
        <v>2.1</v>
      </c>
      <c r="E7" s="29" t="str">
        <f t="shared" si="0"/>
        <v/>
      </c>
      <c r="F7" s="29">
        <f t="shared" si="0"/>
        <v>2</v>
      </c>
      <c r="G7" s="29" t="str">
        <f t="shared" si="0"/>
        <v/>
      </c>
      <c r="H7" s="29" t="str">
        <f t="shared" si="0"/>
        <v/>
      </c>
      <c r="I7" s="29">
        <f t="shared" si="0"/>
        <v>3</v>
      </c>
      <c r="J7" s="29">
        <f t="shared" si="0"/>
        <v>2.2999999999999998</v>
      </c>
      <c r="K7" s="29" t="str">
        <f t="shared" si="0"/>
        <v/>
      </c>
      <c r="L7" s="29">
        <f t="shared" si="0"/>
        <v>1.5</v>
      </c>
      <c r="M7" s="29" t="str">
        <f t="shared" si="0"/>
        <v/>
      </c>
      <c r="N7" s="29">
        <f t="shared" si="0"/>
        <v>4</v>
      </c>
      <c r="O7" s="29" t="str">
        <f t="shared" si="0"/>
        <v/>
      </c>
      <c r="P7" s="29">
        <f t="shared" si="0"/>
        <v>3</v>
      </c>
      <c r="Q7" s="29" t="str">
        <f t="shared" si="0"/>
        <v/>
      </c>
      <c r="R7" s="29" t="str">
        <f t="shared" si="0"/>
        <v/>
      </c>
      <c r="S7" s="29" t="str">
        <f t="shared" si="0"/>
        <v/>
      </c>
      <c r="T7" s="29" t="str">
        <f t="shared" si="0"/>
        <v/>
      </c>
      <c r="U7" s="29" t="str">
        <f t="shared" si="0"/>
        <v/>
      </c>
      <c r="V7" s="29" t="str">
        <f t="shared" si="0"/>
        <v/>
      </c>
      <c r="W7" s="29" t="str">
        <f t="shared" si="0"/>
        <v/>
      </c>
      <c r="X7" s="29" t="str">
        <f t="shared" si="0"/>
        <v/>
      </c>
      <c r="Y7" s="29" t="str">
        <f t="shared" si="0"/>
        <v/>
      </c>
      <c r="Z7" s="29" t="str">
        <f t="shared" si="0"/>
        <v/>
      </c>
      <c r="AA7" s="26">
        <f>MAX(AA4:AA6)</f>
        <v>2.2999999999999998</v>
      </c>
      <c r="AB7" s="26">
        <f>MAX(AB4:AB6)</f>
        <v>4</v>
      </c>
      <c r="AC7" s="26">
        <f>MAX(AC4:AC6)</f>
        <v>2.65</v>
      </c>
    </row>
    <row r="9" spans="2:45" outlineLevel="1" x14ac:dyDescent="0.2">
      <c r="B9" s="51" t="str">
        <f>"Indicative yield : " &amp;G31</f>
        <v>Indicative yield : CB19209A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3"/>
    </row>
    <row r="10" spans="2:45" outlineLevel="1" x14ac:dyDescent="0.2">
      <c r="B10" s="27" t="s">
        <v>0</v>
      </c>
      <c r="C10" s="28" t="str">
        <f t="array" ref="C10:Z10">TRANSPOSE($AB$30:$AB$53)</f>
        <v>BNP</v>
      </c>
      <c r="D10" s="28" t="str">
        <v>BBL</v>
      </c>
      <c r="E10" s="28" t="str">
        <v>KBANK</v>
      </c>
      <c r="F10" s="28" t="str">
        <v>TMB</v>
      </c>
      <c r="G10" s="28" t="str">
        <v>KTB</v>
      </c>
      <c r="H10" s="28" t="str">
        <v>CIMBT</v>
      </c>
      <c r="I10" s="28" t="str">
        <v>BAY</v>
      </c>
      <c r="J10" s="28" t="str">
        <v>SCB</v>
      </c>
      <c r="K10" s="28" t="str">
        <v>TBANK</v>
      </c>
      <c r="L10" s="28" t="str">
        <v>TISCOBANK</v>
      </c>
      <c r="M10" s="28" t="str">
        <v>SCBT</v>
      </c>
      <c r="N10" s="28" t="str">
        <v>HSBC</v>
      </c>
      <c r="O10" s="28" t="str">
        <v>CITIBANK</v>
      </c>
      <c r="P10" s="28" t="str">
        <v>KKP</v>
      </c>
      <c r="Q10" s="28" t="str">
        <v>UOBT</v>
      </c>
      <c r="R10" s="28" t="str">
        <v>GSB</v>
      </c>
      <c r="S10" s="28" t="str">
        <v>KGI</v>
      </c>
      <c r="T10" s="28" t="str">
        <v>BAML</v>
      </c>
      <c r="U10" s="28" t="str">
        <v>JP_MORGAN</v>
      </c>
      <c r="V10" s="28" t="str">
        <v>ANZT</v>
      </c>
      <c r="W10" s="28" t="str">
        <v>DEUTSCHE_BANK</v>
      </c>
      <c r="X10" s="28" t="str">
        <v>CNS</v>
      </c>
      <c r="Y10" s="28" t="str">
        <v>PHATRA</v>
      </c>
      <c r="Z10" s="28" t="str">
        <v>MBKET</v>
      </c>
      <c r="AA10" s="12" t="s">
        <v>6</v>
      </c>
      <c r="AB10" s="12" t="s">
        <v>7</v>
      </c>
      <c r="AC10" s="12" t="s">
        <v>8</v>
      </c>
      <c r="AD10" s="37" t="str">
        <f>G31</f>
        <v>CB19209A</v>
      </c>
    </row>
    <row r="11" spans="2:45" outlineLevel="1" x14ac:dyDescent="0.2">
      <c r="B11" s="27" t="s">
        <v>1</v>
      </c>
      <c r="C11" s="7">
        <v>2.2000000000000002</v>
      </c>
      <c r="D11" s="7">
        <v>2.1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>
        <f>MIN(C11:S11)</f>
        <v>2.1</v>
      </c>
      <c r="AB11" s="25">
        <f>MAX(C11:S11)</f>
        <v>2.2000000000000002</v>
      </c>
      <c r="AC11" s="25">
        <f>IFERROR(AVERAGE(C11:Z11),0)</f>
        <v>2.1500000000000004</v>
      </c>
    </row>
    <row r="12" spans="2:45" outlineLevel="1" x14ac:dyDescent="0.2">
      <c r="B12" s="27" t="s">
        <v>2</v>
      </c>
      <c r="C12" s="7">
        <v>2.5</v>
      </c>
      <c r="D12" s="7">
        <v>2.2000000000000002</v>
      </c>
      <c r="E12" s="7"/>
      <c r="F12" s="7">
        <v>2</v>
      </c>
      <c r="G12" s="7"/>
      <c r="H12" s="7">
        <v>6</v>
      </c>
      <c r="I12" s="7"/>
      <c r="J12" s="7"/>
      <c r="K12" s="7"/>
      <c r="L12" s="7">
        <v>1.5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>
        <f>MIN(C12:S12)</f>
        <v>1.5</v>
      </c>
      <c r="AB12" s="25">
        <f>MAX(C12:S12)</f>
        <v>6</v>
      </c>
      <c r="AC12" s="25">
        <f>IFERROR(AVERAGE(C12:Z12),0)</f>
        <v>2.84</v>
      </c>
    </row>
    <row r="13" spans="2:45" outlineLevel="1" x14ac:dyDescent="0.2">
      <c r="B13" s="27" t="s">
        <v>3</v>
      </c>
      <c r="C13" s="13">
        <v>2.12</v>
      </c>
      <c r="D13" s="13"/>
      <c r="E13" s="13"/>
      <c r="F13" s="13"/>
      <c r="G13" s="13"/>
      <c r="H13" s="13"/>
      <c r="I13" s="13">
        <v>3</v>
      </c>
      <c r="J13" s="13">
        <v>2.2999999999999998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25">
        <f>MIN(C13:S13)</f>
        <v>2.12</v>
      </c>
      <c r="AB13" s="25">
        <f>MAX(C13:S13)</f>
        <v>3</v>
      </c>
      <c r="AC13" s="25">
        <f>IFERROR(AVERAGE(C13:Z13),0)</f>
        <v>2.4733333333333332</v>
      </c>
    </row>
    <row r="14" spans="2:45" outlineLevel="1" x14ac:dyDescent="0.2">
      <c r="B14" s="27" t="s">
        <v>8</v>
      </c>
      <c r="C14" s="29">
        <f t="shared" ref="C14:Z14" si="1">IFERROR(AVERAGE(C11:C13),"")</f>
        <v>2.2733333333333334</v>
      </c>
      <c r="D14" s="29">
        <f t="shared" si="1"/>
        <v>2.1500000000000004</v>
      </c>
      <c r="E14" s="29" t="str">
        <f t="shared" si="1"/>
        <v/>
      </c>
      <c r="F14" s="29">
        <f t="shared" si="1"/>
        <v>2</v>
      </c>
      <c r="G14" s="29" t="str">
        <f t="shared" si="1"/>
        <v/>
      </c>
      <c r="H14" s="29">
        <f t="shared" si="1"/>
        <v>6</v>
      </c>
      <c r="I14" s="29">
        <f t="shared" si="1"/>
        <v>3</v>
      </c>
      <c r="J14" s="29">
        <f t="shared" si="1"/>
        <v>2.2999999999999998</v>
      </c>
      <c r="K14" s="29" t="str">
        <f t="shared" si="1"/>
        <v/>
      </c>
      <c r="L14" s="29">
        <f t="shared" si="1"/>
        <v>1.5</v>
      </c>
      <c r="M14" s="29" t="str">
        <f t="shared" si="1"/>
        <v/>
      </c>
      <c r="N14" s="29" t="str">
        <f t="shared" si="1"/>
        <v/>
      </c>
      <c r="O14" s="29" t="str">
        <f t="shared" si="1"/>
        <v/>
      </c>
      <c r="P14" s="29" t="str">
        <f t="shared" si="1"/>
        <v/>
      </c>
      <c r="Q14" s="29" t="str">
        <f t="shared" si="1"/>
        <v/>
      </c>
      <c r="R14" s="29" t="str">
        <f t="shared" si="1"/>
        <v/>
      </c>
      <c r="S14" s="29" t="str">
        <f t="shared" si="1"/>
        <v/>
      </c>
      <c r="T14" s="29" t="str">
        <f t="shared" si="1"/>
        <v/>
      </c>
      <c r="U14" s="29" t="str">
        <f t="shared" si="1"/>
        <v/>
      </c>
      <c r="V14" s="29" t="str">
        <f t="shared" si="1"/>
        <v/>
      </c>
      <c r="W14" s="29" t="str">
        <f t="shared" si="1"/>
        <v/>
      </c>
      <c r="X14" s="29" t="str">
        <f t="shared" si="1"/>
        <v/>
      </c>
      <c r="Y14" s="29" t="str">
        <f t="shared" si="1"/>
        <v/>
      </c>
      <c r="Z14" s="29" t="str">
        <f t="shared" si="1"/>
        <v/>
      </c>
      <c r="AA14" s="26">
        <f>MAX(AA11:AA13)</f>
        <v>2.12</v>
      </c>
      <c r="AB14" s="26">
        <f>MAX(AB11:AB13)</f>
        <v>6</v>
      </c>
      <c r="AC14" s="26">
        <f>MAX(AC11:AC13)</f>
        <v>2.84</v>
      </c>
    </row>
    <row r="16" spans="2:45" hidden="1" outlineLevel="1" x14ac:dyDescent="0.2">
      <c r="B16" s="51" t="str">
        <f>"Indicative yield : " &amp;G32</f>
        <v>Indicative yield : CB19207A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3"/>
    </row>
    <row r="17" spans="1:32" hidden="1" outlineLevel="1" x14ac:dyDescent="0.2">
      <c r="B17" s="27" t="s">
        <v>0</v>
      </c>
      <c r="C17" s="28" t="str">
        <f t="array" ref="C17:Z17">TRANSPOSE($AB$30:$AB$53)</f>
        <v>BNP</v>
      </c>
      <c r="D17" s="28" t="str">
        <v>BBL</v>
      </c>
      <c r="E17" s="28" t="str">
        <v>KBANK</v>
      </c>
      <c r="F17" s="28" t="str">
        <v>TMB</v>
      </c>
      <c r="G17" s="28" t="str">
        <v>KTB</v>
      </c>
      <c r="H17" s="28" t="str">
        <v>CIMBT</v>
      </c>
      <c r="I17" s="28" t="str">
        <v>BAY</v>
      </c>
      <c r="J17" s="28" t="str">
        <v>SCB</v>
      </c>
      <c r="K17" s="28" t="str">
        <v>TBANK</v>
      </c>
      <c r="L17" s="28" t="str">
        <v>TISCOBANK</v>
      </c>
      <c r="M17" s="28" t="str">
        <v>SCBT</v>
      </c>
      <c r="N17" s="28" t="str">
        <v>HSBC</v>
      </c>
      <c r="O17" s="28" t="str">
        <v>CITIBANK</v>
      </c>
      <c r="P17" s="28" t="str">
        <v>KKP</v>
      </c>
      <c r="Q17" s="28" t="str">
        <v>UOBT</v>
      </c>
      <c r="R17" s="28" t="str">
        <v>GSB</v>
      </c>
      <c r="S17" s="28" t="str">
        <v>KGI</v>
      </c>
      <c r="T17" s="28" t="str">
        <v>BAML</v>
      </c>
      <c r="U17" s="28" t="str">
        <v>JP_MORGAN</v>
      </c>
      <c r="V17" s="28" t="str">
        <v>ANZT</v>
      </c>
      <c r="W17" s="28" t="str">
        <v>DEUTSCHE_BANK</v>
      </c>
      <c r="X17" s="28" t="str">
        <v>CNS</v>
      </c>
      <c r="Y17" s="28" t="str">
        <v>PHATRA</v>
      </c>
      <c r="Z17" s="28" t="str">
        <v>MBKET</v>
      </c>
      <c r="AA17" s="12" t="s">
        <v>6</v>
      </c>
      <c r="AB17" s="12" t="s">
        <v>7</v>
      </c>
      <c r="AC17" s="12" t="s">
        <v>8</v>
      </c>
      <c r="AD17" s="37" t="str">
        <f>G32</f>
        <v>CB19207A</v>
      </c>
    </row>
    <row r="18" spans="1:32" hidden="1" outlineLevel="1" x14ac:dyDescent="0.2">
      <c r="B18" s="27" t="s"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>
        <f>MIN(C18:Z18)</f>
        <v>0</v>
      </c>
      <c r="AB18" s="25">
        <f>MAX(C18:Z18)</f>
        <v>0</v>
      </c>
      <c r="AC18" s="25">
        <f>IFERROR(AVERAGE(C18:Z18),0)</f>
        <v>0</v>
      </c>
    </row>
    <row r="19" spans="1:32" hidden="1" outlineLevel="1" x14ac:dyDescent="0.2">
      <c r="B19" s="27" t="s">
        <v>2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>
        <f>MIN(C19:Z19)</f>
        <v>0</v>
      </c>
      <c r="AB19" s="25">
        <f>MAX(C19:Z19)</f>
        <v>0</v>
      </c>
      <c r="AC19" s="25">
        <f>IFERROR(AVERAGE(C19:Z19),0)</f>
        <v>0</v>
      </c>
    </row>
    <row r="20" spans="1:32" hidden="1" outlineLevel="1" x14ac:dyDescent="0.2">
      <c r="B20" s="27" t="s">
        <v>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25">
        <f>MIN(C20:Z20)</f>
        <v>0</v>
      </c>
      <c r="AB20" s="25">
        <f>MAX(C20:Z20)</f>
        <v>0</v>
      </c>
      <c r="AC20" s="25">
        <f>IFERROR(AVERAGE(C20:Z20),0)</f>
        <v>0</v>
      </c>
    </row>
    <row r="21" spans="1:32" hidden="1" outlineLevel="1" x14ac:dyDescent="0.2">
      <c r="B21" s="27" t="s">
        <v>8</v>
      </c>
      <c r="C21" s="29" t="str">
        <f t="shared" ref="C21:Z21" si="2">IFERROR(AVERAGE(C18:C20),"")</f>
        <v/>
      </c>
      <c r="D21" s="29" t="str">
        <f t="shared" si="2"/>
        <v/>
      </c>
      <c r="E21" s="29" t="str">
        <f t="shared" si="2"/>
        <v/>
      </c>
      <c r="F21" s="29" t="str">
        <f t="shared" si="2"/>
        <v/>
      </c>
      <c r="G21" s="29" t="str">
        <f t="shared" si="2"/>
        <v/>
      </c>
      <c r="H21" s="29" t="str">
        <f t="shared" si="2"/>
        <v/>
      </c>
      <c r="I21" s="29" t="str">
        <f t="shared" si="2"/>
        <v/>
      </c>
      <c r="J21" s="29" t="str">
        <f t="shared" si="2"/>
        <v/>
      </c>
      <c r="K21" s="29" t="str">
        <f t="shared" si="2"/>
        <v/>
      </c>
      <c r="L21" s="29" t="str">
        <f t="shared" si="2"/>
        <v/>
      </c>
      <c r="M21" s="29" t="str">
        <f t="shared" si="2"/>
        <v/>
      </c>
      <c r="N21" s="29" t="str">
        <f t="shared" si="2"/>
        <v/>
      </c>
      <c r="O21" s="29" t="str">
        <f t="shared" si="2"/>
        <v/>
      </c>
      <c r="P21" s="29" t="str">
        <f t="shared" si="2"/>
        <v/>
      </c>
      <c r="Q21" s="29" t="str">
        <f t="shared" si="2"/>
        <v/>
      </c>
      <c r="R21" s="29" t="str">
        <f t="shared" si="2"/>
        <v/>
      </c>
      <c r="S21" s="29" t="str">
        <f t="shared" si="2"/>
        <v/>
      </c>
      <c r="T21" s="29" t="str">
        <f t="shared" si="2"/>
        <v/>
      </c>
      <c r="U21" s="29" t="str">
        <f t="shared" si="2"/>
        <v/>
      </c>
      <c r="V21" s="29" t="str">
        <f t="shared" si="2"/>
        <v/>
      </c>
      <c r="W21" s="29" t="str">
        <f t="shared" si="2"/>
        <v/>
      </c>
      <c r="X21" s="29" t="str">
        <f t="shared" si="2"/>
        <v/>
      </c>
      <c r="Y21" s="29" t="str">
        <f t="shared" si="2"/>
        <v/>
      </c>
      <c r="Z21" s="29" t="str">
        <f t="shared" si="2"/>
        <v/>
      </c>
      <c r="AA21" s="26">
        <f>MAX(AA18:AA20)</f>
        <v>0</v>
      </c>
      <c r="AB21" s="26">
        <f>MAX(AB18:AB20)</f>
        <v>0</v>
      </c>
      <c r="AC21" s="26">
        <f>MAX(AC18:AC20)</f>
        <v>0</v>
      </c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32" t="str">
        <f>"Auction Simulation : "</f>
        <v xml:space="preserve">Auction Simulation : </v>
      </c>
      <c r="D28" s="17" t="str">
        <f>G31</f>
        <v>CB19209A</v>
      </c>
      <c r="G28" s="4" t="s">
        <v>22</v>
      </c>
      <c r="O28" s="38" t="str">
        <f>"Auction Excute : " &amp; G30</f>
        <v>Auction Excute : TB19327A</v>
      </c>
      <c r="S28" s="4" t="s">
        <v>19</v>
      </c>
      <c r="W28" s="4" t="s">
        <v>54</v>
      </c>
    </row>
    <row r="29" spans="1:32" x14ac:dyDescent="0.2">
      <c r="A29" s="60">
        <f>MATCH($D$28,$AD$1:$AD$21,0)</f>
        <v>10</v>
      </c>
      <c r="B29" s="27" t="s">
        <v>17</v>
      </c>
      <c r="C29" s="27" t="s">
        <v>0</v>
      </c>
      <c r="D29" s="27" t="s">
        <v>4</v>
      </c>
      <c r="E29" s="27" t="s">
        <v>74</v>
      </c>
      <c r="G29" s="27" t="s">
        <v>26</v>
      </c>
      <c r="H29" s="27" t="s">
        <v>18</v>
      </c>
      <c r="I29" s="27" t="s">
        <v>23</v>
      </c>
      <c r="J29" s="27" t="s">
        <v>24</v>
      </c>
      <c r="K29" s="27" t="s">
        <v>52</v>
      </c>
      <c r="L29" s="27" t="s">
        <v>53</v>
      </c>
      <c r="M29" s="27" t="s">
        <v>63</v>
      </c>
      <c r="O29" s="15" t="s">
        <v>0</v>
      </c>
      <c r="P29" s="15" t="s">
        <v>4</v>
      </c>
      <c r="Q29" s="15" t="s">
        <v>25</v>
      </c>
      <c r="S29" s="15" t="s">
        <v>0</v>
      </c>
      <c r="T29" s="15" t="s">
        <v>4</v>
      </c>
      <c r="U29" s="15" t="s">
        <v>25</v>
      </c>
      <c r="W29" s="5" t="s">
        <v>5</v>
      </c>
      <c r="X29" s="5" t="s">
        <v>17</v>
      </c>
      <c r="Y29" s="5" t="s">
        <v>23</v>
      </c>
      <c r="Z29" s="5" t="s">
        <v>24</v>
      </c>
      <c r="AA29" s="5" t="s">
        <v>28</v>
      </c>
      <c r="AB29" s="5" t="s">
        <v>0</v>
      </c>
      <c r="AC29" s="5" t="s">
        <v>20</v>
      </c>
      <c r="AD29" s="5" t="s">
        <v>65</v>
      </c>
      <c r="AE29" s="24" t="s">
        <v>51</v>
      </c>
      <c r="AF29" s="5" t="s">
        <v>33</v>
      </c>
    </row>
    <row r="30" spans="1:32" x14ac:dyDescent="0.2">
      <c r="A30">
        <f t="shared" ref="A30:A53" si="3">MATCH(C30,$A$3:$Z$3,0)</f>
        <v>3</v>
      </c>
      <c r="B30" s="3">
        <f t="shared" ref="B30:B53" si="4">INDEX($X$30:$X$53,MATCH(C30,$AB$30:$AB$53,0))</f>
        <v>1</v>
      </c>
      <c r="C30" s="1" t="str">
        <f t="shared" ref="C30:C53" si="5">AB30</f>
        <v>BNP</v>
      </c>
      <c r="D30" s="34">
        <f t="shared" ref="D30:D53" si="6">IFERROR(IF(MATCH(C30,$A$57:$A$60,0)=1,$I$30*0.35,IF(MATCH(C30,$A$57:$A$60,0)=2,$I$30*0.3,IF(MATCH(C30,$A$57:$A$60,0)=3,$I$30*0.25,IF(MATCH(C30,$A$57:$A$60,0)=4,$I$30*0.1)))),0)</f>
        <v>3360</v>
      </c>
      <c r="E30" s="29">
        <f ca="1">INDIRECT(ADDRESS($A$29+4,A30))</f>
        <v>2.2733333333333334</v>
      </c>
      <c r="G30" s="10" t="s">
        <v>62</v>
      </c>
      <c r="H30" s="58">
        <f>SUM(I30:L30)</f>
        <v>10200</v>
      </c>
      <c r="I30" s="10">
        <v>9600</v>
      </c>
      <c r="J30" s="10">
        <v>600</v>
      </c>
      <c r="K30" s="10"/>
      <c r="L30" s="10"/>
      <c r="M30" s="10"/>
      <c r="O30" s="30" t="s">
        <v>9</v>
      </c>
      <c r="P30" s="30">
        <v>5000</v>
      </c>
      <c r="Q30" s="14"/>
      <c r="S30" s="2" t="str">
        <f>IF(ISBLANK(O30),"",O30)</f>
        <v>SCB</v>
      </c>
      <c r="T30" s="30">
        <v>5000</v>
      </c>
      <c r="U30" s="14"/>
      <c r="W30" s="44">
        <v>1</v>
      </c>
      <c r="X30" s="6">
        <v>1</v>
      </c>
      <c r="Y30" s="6">
        <v>1</v>
      </c>
      <c r="Z30" s="6">
        <v>1</v>
      </c>
      <c r="AA30" s="6">
        <f ca="1">IF(SUM(OFFSET(INDIRECT(ADDRESS($A$29,$A30)),1,0,3)) &gt; 0,1,0)</f>
        <v>1</v>
      </c>
      <c r="AB30" s="23" t="s">
        <v>13</v>
      </c>
      <c r="AC30" s="3">
        <f t="shared" ref="AC30:AC53" si="7">SUMIF($S$30:$S$64,AB30,$T$30:$T$64)</f>
        <v>0</v>
      </c>
      <c r="AD30" s="3">
        <f>AC30</f>
        <v>0</v>
      </c>
      <c r="AE30" s="31">
        <f t="shared" ref="AE30:AE53" si="8">AD30/$AD$54</f>
        <v>0</v>
      </c>
      <c r="AF30" s="19"/>
    </row>
    <row r="31" spans="1:32" x14ac:dyDescent="0.2">
      <c r="A31">
        <f t="shared" si="3"/>
        <v>4</v>
      </c>
      <c r="B31" s="3">
        <f t="shared" si="4"/>
        <v>2</v>
      </c>
      <c r="C31" s="1" t="str">
        <f t="shared" si="5"/>
        <v>BBL</v>
      </c>
      <c r="D31" s="34">
        <f t="shared" si="6"/>
        <v>2880</v>
      </c>
      <c r="E31" s="29">
        <f ca="1">INDIRECT(ADDRESS($A$29+4,A31))</f>
        <v>2.1500000000000004</v>
      </c>
      <c r="G31" s="10" t="s">
        <v>50</v>
      </c>
      <c r="H31" s="58">
        <f t="shared" ref="H31:H32" si="9">SUM(I31:L31)</f>
        <v>6200</v>
      </c>
      <c r="I31" s="10">
        <v>5200</v>
      </c>
      <c r="J31" s="10"/>
      <c r="K31" s="10">
        <v>1000</v>
      </c>
      <c r="L31" s="10"/>
      <c r="M31" s="10"/>
      <c r="O31" s="30" t="s">
        <v>11</v>
      </c>
      <c r="P31" s="30">
        <v>2200</v>
      </c>
      <c r="Q31" s="30"/>
      <c r="S31" s="2" t="str">
        <f t="shared" ref="S31:S38" si="10">IF(ISBLANK(O31),"",O31)</f>
        <v>BBL</v>
      </c>
      <c r="T31" s="30">
        <v>1200</v>
      </c>
      <c r="U31" s="30"/>
      <c r="W31" s="44">
        <v>1</v>
      </c>
      <c r="X31" s="6">
        <v>2</v>
      </c>
      <c r="Y31" s="6">
        <v>1</v>
      </c>
      <c r="Z31" s="6">
        <v>0</v>
      </c>
      <c r="AA31" s="6">
        <f ca="1">IF(SUM(OFFSET(INDIRECT(ADDRESS($A$29,$A31)),1,0,3)) &gt; 0,1,0)</f>
        <v>1</v>
      </c>
      <c r="AB31" s="23" t="s">
        <v>11</v>
      </c>
      <c r="AC31" s="3">
        <f t="shared" si="7"/>
        <v>1200</v>
      </c>
      <c r="AD31" s="3">
        <f t="shared" ref="AD31:AD53" si="11">AC31</f>
        <v>1200</v>
      </c>
      <c r="AE31" s="31">
        <f t="shared" si="8"/>
        <v>0.13043478260869565</v>
      </c>
      <c r="AF31" s="20"/>
    </row>
    <row r="32" spans="1:32" x14ac:dyDescent="0.2">
      <c r="A32">
        <f t="shared" si="3"/>
        <v>5</v>
      </c>
      <c r="B32" s="3">
        <f t="shared" si="4"/>
        <v>3</v>
      </c>
      <c r="C32" s="1" t="str">
        <f t="shared" si="5"/>
        <v>KBANK</v>
      </c>
      <c r="D32" s="34">
        <f t="shared" si="6"/>
        <v>0</v>
      </c>
      <c r="E32" s="29" t="str">
        <f ca="1">INDIRECT(ADDRESS($A$29+4,A32))</f>
        <v/>
      </c>
      <c r="G32" s="10" t="s">
        <v>27</v>
      </c>
      <c r="H32" s="58">
        <f t="shared" si="9"/>
        <v>0</v>
      </c>
      <c r="I32" s="10"/>
      <c r="J32" s="10"/>
      <c r="K32" s="10"/>
      <c r="L32" s="10"/>
      <c r="M32" s="10"/>
      <c r="O32" s="30" t="s">
        <v>12</v>
      </c>
      <c r="P32" s="30">
        <v>3000</v>
      </c>
      <c r="Q32" s="30"/>
      <c r="S32" s="2" t="str">
        <f t="shared" si="10"/>
        <v>KBANK</v>
      </c>
      <c r="T32" s="30">
        <v>3000</v>
      </c>
      <c r="U32" s="30"/>
      <c r="W32" s="44">
        <v>1</v>
      </c>
      <c r="X32" s="6">
        <v>3</v>
      </c>
      <c r="Y32" s="6">
        <v>1</v>
      </c>
      <c r="Z32" s="6">
        <v>1</v>
      </c>
      <c r="AA32" s="6">
        <f ca="1">IF(SUM(OFFSET(INDIRECT(ADDRESS($A$29,$A32)),1,0,3)) &gt; 0,1,0)</f>
        <v>0</v>
      </c>
      <c r="AB32" s="23" t="s">
        <v>12</v>
      </c>
      <c r="AC32" s="3">
        <f t="shared" si="7"/>
        <v>3000</v>
      </c>
      <c r="AD32" s="3">
        <f t="shared" si="11"/>
        <v>3000</v>
      </c>
      <c r="AE32" s="21">
        <f t="shared" si="8"/>
        <v>0.32608695652173914</v>
      </c>
      <c r="AF32" s="21">
        <f>SUMIF($W$30:$W$53,$W$32,$AD$30:$AD$53)/$AD$54</f>
        <v>0.45652173913043476</v>
      </c>
    </row>
    <row r="33" spans="1:32" x14ac:dyDescent="0.2">
      <c r="A33">
        <f t="shared" si="3"/>
        <v>6</v>
      </c>
      <c r="B33" s="3">
        <f t="shared" si="4"/>
        <v>4</v>
      </c>
      <c r="C33" s="1" t="str">
        <f t="shared" si="5"/>
        <v>TMB</v>
      </c>
      <c r="D33" s="34">
        <f t="shared" si="6"/>
        <v>2400</v>
      </c>
      <c r="E33" s="29">
        <f ca="1">INDIRECT(ADDRESS($A$29+4,A33))</f>
        <v>2</v>
      </c>
      <c r="G33" s="46"/>
      <c r="O33" s="30"/>
      <c r="P33" s="30"/>
      <c r="Q33" s="30"/>
      <c r="S33" s="2" t="str">
        <f t="shared" si="10"/>
        <v/>
      </c>
      <c r="T33" s="30"/>
      <c r="U33" s="30"/>
      <c r="W33" s="3">
        <v>2</v>
      </c>
      <c r="X33" s="6">
        <v>4</v>
      </c>
      <c r="Y33" s="6">
        <v>1</v>
      </c>
      <c r="Z33" s="6">
        <v>1</v>
      </c>
      <c r="AA33" s="6">
        <f ca="1">IF(SUM(OFFSET(INDIRECT(ADDRESS($A$29,$A33)),1,0,3)) &gt; 0,1,0)</f>
        <v>1</v>
      </c>
      <c r="AB33" s="23" t="s">
        <v>10</v>
      </c>
      <c r="AC33" s="3">
        <f t="shared" si="7"/>
        <v>0</v>
      </c>
      <c r="AD33" s="18">
        <f t="shared" si="11"/>
        <v>0</v>
      </c>
      <c r="AE33" s="31">
        <f t="shared" si="8"/>
        <v>0</v>
      </c>
      <c r="AF33" s="20"/>
    </row>
    <row r="34" spans="1:32" x14ac:dyDescent="0.2">
      <c r="A34">
        <f t="shared" si="3"/>
        <v>7</v>
      </c>
      <c r="B34" s="3">
        <f t="shared" si="4"/>
        <v>5</v>
      </c>
      <c r="C34" s="1" t="str">
        <f t="shared" si="5"/>
        <v>KTB</v>
      </c>
      <c r="D34" s="34">
        <f t="shared" si="6"/>
        <v>0</v>
      </c>
      <c r="E34" s="29" t="str">
        <f ca="1">INDIRECT(ADDRESS($A$29+4,A34))</f>
        <v/>
      </c>
      <c r="G34" s="47"/>
      <c r="O34" s="30"/>
      <c r="P34" s="30"/>
      <c r="Q34" s="30"/>
      <c r="S34" s="2" t="str">
        <f t="shared" si="10"/>
        <v/>
      </c>
      <c r="T34" s="30"/>
      <c r="U34" s="30"/>
      <c r="W34" s="3">
        <v>2</v>
      </c>
      <c r="X34" s="6">
        <v>5</v>
      </c>
      <c r="Y34" s="6">
        <v>1</v>
      </c>
      <c r="Z34" s="6">
        <v>0</v>
      </c>
      <c r="AA34" s="6">
        <f ca="1">IF(SUM(OFFSET(INDIRECT(ADDRESS($A$29,$A34)),1,0,3)) &gt; 0,1,0)</f>
        <v>0</v>
      </c>
      <c r="AB34" s="23" t="s">
        <v>14</v>
      </c>
      <c r="AC34" s="3">
        <f t="shared" si="7"/>
        <v>0</v>
      </c>
      <c r="AD34" s="3">
        <f t="shared" si="11"/>
        <v>0</v>
      </c>
      <c r="AE34" s="31">
        <f t="shared" si="8"/>
        <v>0</v>
      </c>
      <c r="AF34" s="20"/>
    </row>
    <row r="35" spans="1:32" x14ac:dyDescent="0.2">
      <c r="A35">
        <f t="shared" si="3"/>
        <v>8</v>
      </c>
      <c r="B35" s="3">
        <f t="shared" si="4"/>
        <v>6</v>
      </c>
      <c r="C35" s="1" t="str">
        <f t="shared" si="5"/>
        <v>CIMBT</v>
      </c>
      <c r="D35" s="34">
        <f t="shared" si="6"/>
        <v>960</v>
      </c>
      <c r="E35" s="29">
        <f ca="1">INDIRECT(ADDRESS($A$29+4,A35))</f>
        <v>6</v>
      </c>
      <c r="G35" s="4" t="s">
        <v>64</v>
      </c>
      <c r="O35" s="30"/>
      <c r="P35" s="30"/>
      <c r="Q35" s="30"/>
      <c r="S35" s="2" t="str">
        <f t="shared" si="10"/>
        <v/>
      </c>
      <c r="T35" s="30"/>
      <c r="U35" s="30"/>
      <c r="W35" s="3">
        <v>2</v>
      </c>
      <c r="X35" s="6">
        <v>6</v>
      </c>
      <c r="Y35" s="6">
        <v>1</v>
      </c>
      <c r="Z35" s="6">
        <v>0</v>
      </c>
      <c r="AA35" s="6">
        <f ca="1">IF(SUM(OFFSET(INDIRECT(ADDRESS($A$29,$A35)),1,0,3)) &gt; 0,1,0)</f>
        <v>1</v>
      </c>
      <c r="AB35" s="23" t="s">
        <v>34</v>
      </c>
      <c r="AC35" s="3">
        <f t="shared" si="7"/>
        <v>0</v>
      </c>
      <c r="AD35" s="3">
        <f t="shared" si="11"/>
        <v>0</v>
      </c>
      <c r="AE35" s="31">
        <f t="shared" si="8"/>
        <v>0</v>
      </c>
      <c r="AF35" s="20"/>
    </row>
    <row r="36" spans="1:32" x14ac:dyDescent="0.2">
      <c r="A36">
        <f t="shared" si="3"/>
        <v>9</v>
      </c>
      <c r="B36" s="3">
        <f t="shared" si="4"/>
        <v>7</v>
      </c>
      <c r="C36" s="1" t="str">
        <f t="shared" si="5"/>
        <v>BAY</v>
      </c>
      <c r="D36" s="34">
        <f t="shared" si="6"/>
        <v>0</v>
      </c>
      <c r="E36" s="29">
        <f ca="1">INDIRECT(ADDRESS($A$29+4,A36))</f>
        <v>3</v>
      </c>
      <c r="G36" s="27" t="s">
        <v>26</v>
      </c>
      <c r="H36" s="27" t="s">
        <v>66</v>
      </c>
      <c r="I36" s="27" t="s">
        <v>55</v>
      </c>
      <c r="J36" s="27" t="s">
        <v>56</v>
      </c>
      <c r="K36" s="27" t="s">
        <v>75</v>
      </c>
      <c r="L36" s="27" t="s">
        <v>67</v>
      </c>
      <c r="M36" s="27" t="s">
        <v>58</v>
      </c>
      <c r="O36" s="30"/>
      <c r="P36" s="30"/>
      <c r="Q36" s="30"/>
      <c r="S36" s="2" t="str">
        <f t="shared" si="10"/>
        <v/>
      </c>
      <c r="T36" s="30"/>
      <c r="U36" s="30"/>
      <c r="W36" s="3">
        <v>2</v>
      </c>
      <c r="X36" s="6">
        <v>7</v>
      </c>
      <c r="Y36" s="6">
        <v>1</v>
      </c>
      <c r="Z36" s="6">
        <v>0</v>
      </c>
      <c r="AA36" s="6">
        <f ca="1">IF(SUM(OFFSET(INDIRECT(ADDRESS($A$29,$A36)),1,0,3)) &gt; 0,1,0)</f>
        <v>1</v>
      </c>
      <c r="AB36" s="23" t="s">
        <v>35</v>
      </c>
      <c r="AC36" s="3">
        <f t="shared" si="7"/>
        <v>0</v>
      </c>
      <c r="AD36" s="3">
        <f t="shared" si="11"/>
        <v>0</v>
      </c>
      <c r="AE36" s="31">
        <f t="shared" si="8"/>
        <v>0</v>
      </c>
      <c r="AF36" s="20"/>
    </row>
    <row r="37" spans="1:32" ht="16.5" customHeight="1" x14ac:dyDescent="0.2">
      <c r="A37">
        <f t="shared" si="3"/>
        <v>10</v>
      </c>
      <c r="B37" s="3">
        <f t="shared" si="4"/>
        <v>8</v>
      </c>
      <c r="C37" s="1" t="str">
        <f t="shared" si="5"/>
        <v>SCB</v>
      </c>
      <c r="D37" s="34">
        <f t="shared" si="6"/>
        <v>0</v>
      </c>
      <c r="E37" s="29">
        <f ca="1">INDIRECT(ADDRESS($A$29+4,A37))</f>
        <v>2.2999999999999998</v>
      </c>
      <c r="G37" s="50" t="s">
        <v>27</v>
      </c>
      <c r="H37" s="48">
        <v>43369</v>
      </c>
      <c r="I37" s="29">
        <v>1.47</v>
      </c>
      <c r="J37" s="29">
        <v>1.47</v>
      </c>
      <c r="K37" s="29">
        <v>1.47</v>
      </c>
      <c r="L37" s="49">
        <v>0.36244199999999999</v>
      </c>
      <c r="M37" s="49">
        <v>0.26272899999999999</v>
      </c>
      <c r="O37" s="30"/>
      <c r="P37" s="30"/>
      <c r="Q37" s="30"/>
      <c r="S37" s="2" t="str">
        <f t="shared" si="10"/>
        <v/>
      </c>
      <c r="T37" s="30"/>
      <c r="U37" s="30"/>
      <c r="W37" s="3">
        <v>2</v>
      </c>
      <c r="X37" s="6">
        <v>8</v>
      </c>
      <c r="Y37" s="6">
        <v>1</v>
      </c>
      <c r="Z37" s="6">
        <v>0</v>
      </c>
      <c r="AA37" s="6">
        <f ca="1">IF(SUM(OFFSET(INDIRECT(ADDRESS($A$29,$A37)),1,0,3)) &gt; 0,1,0)</f>
        <v>1</v>
      </c>
      <c r="AB37" s="23" t="s">
        <v>9</v>
      </c>
      <c r="AC37" s="3">
        <f t="shared" si="7"/>
        <v>5000</v>
      </c>
      <c r="AD37" s="3">
        <f t="shared" si="11"/>
        <v>5000</v>
      </c>
      <c r="AE37" s="21">
        <f t="shared" si="8"/>
        <v>0.54347826086956519</v>
      </c>
      <c r="AF37" s="21">
        <f>SUMIF($W$30:$W$53,$W$37,$AD$30:$AD$53)/$AD$54</f>
        <v>0.54347826086956519</v>
      </c>
    </row>
    <row r="38" spans="1:32" x14ac:dyDescent="0.2">
      <c r="A38">
        <f t="shared" si="3"/>
        <v>11</v>
      </c>
      <c r="B38" s="3">
        <f t="shared" si="4"/>
        <v>9</v>
      </c>
      <c r="C38" s="1" t="str">
        <f t="shared" si="5"/>
        <v>TBANK</v>
      </c>
      <c r="D38" s="34">
        <f t="shared" si="6"/>
        <v>0</v>
      </c>
      <c r="E38" s="29" t="str">
        <f ca="1">INDIRECT(ADDRESS($A$29+4,A38))</f>
        <v/>
      </c>
      <c r="G38" s="50" t="s">
        <v>59</v>
      </c>
      <c r="H38" s="48">
        <v>43369</v>
      </c>
      <c r="I38" s="29">
        <v>1.4950000000000001</v>
      </c>
      <c r="J38" s="29">
        <v>1.4950000000000001</v>
      </c>
      <c r="K38" s="29">
        <v>1.4950000000000001</v>
      </c>
      <c r="L38" s="49">
        <v>0.38137500000000002</v>
      </c>
      <c r="M38" s="49">
        <v>0.29089300000000001</v>
      </c>
      <c r="O38" s="30"/>
      <c r="P38" s="30"/>
      <c r="Q38" s="30"/>
      <c r="S38" s="2" t="str">
        <f t="shared" si="10"/>
        <v/>
      </c>
      <c r="T38" s="30"/>
      <c r="U38" s="30"/>
      <c r="W38" s="3">
        <v>3</v>
      </c>
      <c r="X38" s="6">
        <v>9</v>
      </c>
      <c r="Y38" s="6">
        <v>1</v>
      </c>
      <c r="Z38" s="6">
        <v>0</v>
      </c>
      <c r="AA38" s="6">
        <f ca="1">IF(SUM(OFFSET(INDIRECT(ADDRESS($A$29,$A38)),1,0,3)) &gt; 0,1,0)</f>
        <v>0</v>
      </c>
      <c r="AB38" s="23" t="s">
        <v>36</v>
      </c>
      <c r="AC38" s="3">
        <f t="shared" si="7"/>
        <v>0</v>
      </c>
      <c r="AD38" s="18">
        <f t="shared" si="11"/>
        <v>0</v>
      </c>
      <c r="AE38" s="31">
        <f t="shared" si="8"/>
        <v>0</v>
      </c>
      <c r="AF38" s="20"/>
    </row>
    <row r="39" spans="1:32" ht="15" thickBot="1" x14ac:dyDescent="0.25">
      <c r="A39">
        <f t="shared" si="3"/>
        <v>12</v>
      </c>
      <c r="B39" s="3">
        <f t="shared" si="4"/>
        <v>10</v>
      </c>
      <c r="C39" s="1" t="str">
        <f t="shared" si="5"/>
        <v>TISCOBANK</v>
      </c>
      <c r="D39" s="34">
        <f t="shared" si="6"/>
        <v>0</v>
      </c>
      <c r="E39" s="29">
        <f ca="1">INDIRECT(ADDRESS($A$29+4,A39))</f>
        <v>1.5</v>
      </c>
      <c r="G39" s="50" t="s">
        <v>60</v>
      </c>
      <c r="H39" s="48">
        <v>43369</v>
      </c>
      <c r="I39" s="29">
        <v>1.5</v>
      </c>
      <c r="J39" s="29">
        <v>1.5</v>
      </c>
      <c r="K39" s="29">
        <v>1.5</v>
      </c>
      <c r="L39" s="49">
        <v>0.40032099999999998</v>
      </c>
      <c r="M39" s="49">
        <v>0.32051400000000002</v>
      </c>
      <c r="N39" s="57" t="s">
        <v>68</v>
      </c>
      <c r="O39" s="58">
        <f>H30-P39</f>
        <v>0</v>
      </c>
      <c r="P39" s="64">
        <f>SUM(P30:P38)</f>
        <v>10200</v>
      </c>
      <c r="Q39" s="64">
        <f>IFERROR(AVERAGE(Q30:Q38),0)</f>
        <v>0</v>
      </c>
      <c r="R39" s="57" t="s">
        <v>69</v>
      </c>
      <c r="S39" s="58">
        <f>H30-T39</f>
        <v>1000</v>
      </c>
      <c r="T39" s="64">
        <f>SUM(T30:T38)</f>
        <v>9200</v>
      </c>
      <c r="U39" s="64">
        <f>SUM(U30:U38)</f>
        <v>0</v>
      </c>
      <c r="W39" s="3">
        <v>3</v>
      </c>
      <c r="X39" s="6">
        <v>10</v>
      </c>
      <c r="Y39" s="6">
        <v>1</v>
      </c>
      <c r="Z39" s="6">
        <v>0</v>
      </c>
      <c r="AA39" s="6">
        <f ca="1">IF(SUM(OFFSET(INDIRECT(ADDRESS($A$29,$A39)),1,0,3)) &gt; 0,1,0)</f>
        <v>1</v>
      </c>
      <c r="AB39" s="23" t="s">
        <v>37</v>
      </c>
      <c r="AC39" s="3">
        <f t="shared" si="7"/>
        <v>0</v>
      </c>
      <c r="AD39" s="3">
        <f t="shared" si="11"/>
        <v>0</v>
      </c>
      <c r="AE39" s="31">
        <f t="shared" si="8"/>
        <v>0</v>
      </c>
      <c r="AF39" s="20"/>
    </row>
    <row r="40" spans="1:32" ht="15" thickTop="1" x14ac:dyDescent="0.2">
      <c r="A40">
        <f t="shared" si="3"/>
        <v>13</v>
      </c>
      <c r="B40" s="3">
        <f t="shared" si="4"/>
        <v>11</v>
      </c>
      <c r="C40" s="1" t="str">
        <f t="shared" si="5"/>
        <v>SCBT</v>
      </c>
      <c r="D40" s="34">
        <f t="shared" si="6"/>
        <v>0</v>
      </c>
      <c r="E40" s="29" t="str">
        <f ca="1">INDIRECT(ADDRESS($A$29+4,A40))</f>
        <v/>
      </c>
      <c r="G40" s="50" t="s">
        <v>61</v>
      </c>
      <c r="H40" s="48">
        <v>43369</v>
      </c>
      <c r="I40" s="29">
        <v>1.52</v>
      </c>
      <c r="J40" s="29">
        <v>1.52</v>
      </c>
      <c r="K40" s="29">
        <v>1.52</v>
      </c>
      <c r="L40" s="49">
        <v>0.41922900000000002</v>
      </c>
      <c r="M40" s="49">
        <v>0.35150599999999999</v>
      </c>
      <c r="W40" s="3">
        <v>3</v>
      </c>
      <c r="X40" s="6">
        <v>11</v>
      </c>
      <c r="Y40" s="6">
        <v>1</v>
      </c>
      <c r="Z40" s="6">
        <v>0</v>
      </c>
      <c r="AA40" s="6">
        <f ca="1">IF(SUM(OFFSET(INDIRECT(ADDRESS($A$29,$A40)),1,0,3)) &gt; 0,1,0)</f>
        <v>0</v>
      </c>
      <c r="AB40" s="23" t="s">
        <v>38</v>
      </c>
      <c r="AC40" s="3">
        <f t="shared" si="7"/>
        <v>0</v>
      </c>
      <c r="AD40" s="3">
        <f t="shared" si="11"/>
        <v>0</v>
      </c>
      <c r="AE40" s="31">
        <f t="shared" si="8"/>
        <v>0</v>
      </c>
      <c r="AF40" s="20"/>
    </row>
    <row r="41" spans="1:32" x14ac:dyDescent="0.2">
      <c r="A41">
        <f t="shared" si="3"/>
        <v>14</v>
      </c>
      <c r="B41" s="3">
        <f t="shared" si="4"/>
        <v>12</v>
      </c>
      <c r="C41" s="1" t="str">
        <f t="shared" si="5"/>
        <v>HSBC</v>
      </c>
      <c r="D41" s="34">
        <f t="shared" si="6"/>
        <v>0</v>
      </c>
      <c r="E41" s="29" t="str">
        <f ca="1">INDIRECT(ADDRESS($A$29+4,A41))</f>
        <v/>
      </c>
      <c r="G41" s="50"/>
      <c r="H41" s="48"/>
      <c r="I41" s="29"/>
      <c r="J41" s="29"/>
      <c r="K41" s="29"/>
      <c r="L41" s="49"/>
      <c r="M41" s="49"/>
      <c r="O41" s="39" t="str">
        <f>"Auction Excute : " &amp;G31</f>
        <v>Auction Excute : CB19209A</v>
      </c>
      <c r="S41" s="4" t="s">
        <v>19</v>
      </c>
      <c r="W41" s="3">
        <v>3</v>
      </c>
      <c r="X41" s="6">
        <v>12</v>
      </c>
      <c r="Y41" s="6">
        <v>1</v>
      </c>
      <c r="Z41" s="6">
        <v>0</v>
      </c>
      <c r="AA41" s="6">
        <f ca="1">IF(SUM(OFFSET(INDIRECT(ADDRESS($A$29,$A41)),1,0,3)) &gt; 0,1,0)</f>
        <v>0</v>
      </c>
      <c r="AB41" s="23" t="s">
        <v>16</v>
      </c>
      <c r="AC41" s="3">
        <f t="shared" si="7"/>
        <v>0</v>
      </c>
      <c r="AD41" s="3">
        <f t="shared" si="11"/>
        <v>0</v>
      </c>
      <c r="AE41" s="31">
        <f t="shared" si="8"/>
        <v>0</v>
      </c>
      <c r="AF41" s="20"/>
    </row>
    <row r="42" spans="1:32" x14ac:dyDescent="0.2">
      <c r="A42">
        <f t="shared" si="3"/>
        <v>15</v>
      </c>
      <c r="B42" s="3">
        <f t="shared" si="4"/>
        <v>13</v>
      </c>
      <c r="C42" s="1" t="str">
        <f t="shared" si="5"/>
        <v>CITIBANK</v>
      </c>
      <c r="D42" s="34">
        <f t="shared" si="6"/>
        <v>0</v>
      </c>
      <c r="E42" s="29" t="str">
        <f ca="1">INDIRECT(ADDRESS($A$29+4,A42))</f>
        <v/>
      </c>
      <c r="G42" s="50"/>
      <c r="H42" s="48"/>
      <c r="I42" s="29"/>
      <c r="J42" s="29"/>
      <c r="K42" s="29"/>
      <c r="L42" s="49"/>
      <c r="M42" s="49"/>
      <c r="O42" s="15" t="s">
        <v>0</v>
      </c>
      <c r="P42" s="15" t="s">
        <v>4</v>
      </c>
      <c r="Q42" s="15" t="s">
        <v>25</v>
      </c>
      <c r="S42" s="15" t="s">
        <v>0</v>
      </c>
      <c r="T42" s="15" t="s">
        <v>4</v>
      </c>
      <c r="U42" s="15" t="s">
        <v>25</v>
      </c>
      <c r="W42" s="3">
        <v>3</v>
      </c>
      <c r="X42" s="6">
        <v>13</v>
      </c>
      <c r="Y42" s="6">
        <v>1</v>
      </c>
      <c r="Z42" s="6">
        <v>0</v>
      </c>
      <c r="AA42" s="6">
        <f ca="1">IF(SUM(OFFSET(INDIRECT(ADDRESS($A$29,$A42)),1,0,3)) &gt; 0,1,0)</f>
        <v>0</v>
      </c>
      <c r="AB42" s="23" t="s">
        <v>39</v>
      </c>
      <c r="AC42" s="3">
        <f t="shared" si="7"/>
        <v>0</v>
      </c>
      <c r="AD42" s="3">
        <f t="shared" si="11"/>
        <v>0</v>
      </c>
      <c r="AE42" s="31">
        <f t="shared" si="8"/>
        <v>0</v>
      </c>
      <c r="AF42" s="20"/>
    </row>
    <row r="43" spans="1:32" x14ac:dyDescent="0.2">
      <c r="A43">
        <f t="shared" si="3"/>
        <v>16</v>
      </c>
      <c r="B43" s="3">
        <f t="shared" si="4"/>
        <v>14</v>
      </c>
      <c r="C43" s="1" t="str">
        <f t="shared" si="5"/>
        <v>KKP</v>
      </c>
      <c r="D43" s="34">
        <f t="shared" si="6"/>
        <v>0</v>
      </c>
      <c r="E43" s="29" t="str">
        <f ca="1">INDIRECT(ADDRESS($A$29+4,A43))</f>
        <v/>
      </c>
      <c r="G43" s="50"/>
      <c r="H43" s="48"/>
      <c r="I43" s="29"/>
      <c r="J43" s="29"/>
      <c r="K43" s="29"/>
      <c r="L43" s="49"/>
      <c r="M43" s="49"/>
      <c r="O43" s="30" t="s">
        <v>11</v>
      </c>
      <c r="P43" s="30">
        <v>3000</v>
      </c>
      <c r="Q43" s="14"/>
      <c r="S43" s="2" t="str">
        <f>IF(ISBLANK(O43),"",O43)</f>
        <v>BBL</v>
      </c>
      <c r="T43" s="30"/>
      <c r="U43" s="14"/>
      <c r="W43" s="3">
        <v>3</v>
      </c>
      <c r="X43" s="6">
        <v>14</v>
      </c>
      <c r="Y43" s="6">
        <v>1</v>
      </c>
      <c r="Z43" s="6">
        <v>0</v>
      </c>
      <c r="AA43" s="6">
        <f ca="1">IF(SUM(OFFSET(INDIRECT(ADDRESS($A$29,$A43)),1,0,3)) &gt; 0,1,0)</f>
        <v>0</v>
      </c>
      <c r="AB43" s="23" t="s">
        <v>40</v>
      </c>
      <c r="AC43" s="3">
        <f t="shared" si="7"/>
        <v>0</v>
      </c>
      <c r="AD43" s="3">
        <f t="shared" si="11"/>
        <v>0</v>
      </c>
      <c r="AE43" s="31">
        <f t="shared" si="8"/>
        <v>0</v>
      </c>
      <c r="AF43" s="20"/>
    </row>
    <row r="44" spans="1:32" x14ac:dyDescent="0.2">
      <c r="A44">
        <f t="shared" si="3"/>
        <v>17</v>
      </c>
      <c r="B44" s="3">
        <f t="shared" si="4"/>
        <v>15</v>
      </c>
      <c r="C44" s="1" t="str">
        <f t="shared" si="5"/>
        <v>UOBT</v>
      </c>
      <c r="D44" s="34">
        <f t="shared" si="6"/>
        <v>0</v>
      </c>
      <c r="E44" s="29" t="str">
        <f ca="1">INDIRECT(ADDRESS($A$29+4,A44))</f>
        <v/>
      </c>
      <c r="G44" s="50"/>
      <c r="H44" s="48"/>
      <c r="I44" s="29"/>
      <c r="J44" s="29"/>
      <c r="K44" s="29"/>
      <c r="L44" s="49"/>
      <c r="M44" s="49"/>
      <c r="O44" s="30"/>
      <c r="P44" s="30"/>
      <c r="Q44" s="30"/>
      <c r="S44" s="2" t="str">
        <f t="shared" ref="S44:S51" si="12">IF(ISBLANK(O44),"",O44)</f>
        <v/>
      </c>
      <c r="T44" s="30"/>
      <c r="U44" s="30"/>
      <c r="W44" s="3">
        <v>3</v>
      </c>
      <c r="X44" s="6">
        <v>15</v>
      </c>
      <c r="Y44" s="6">
        <v>1</v>
      </c>
      <c r="Z44" s="6">
        <v>0</v>
      </c>
      <c r="AA44" s="6">
        <f ca="1">IF(SUM(OFFSET(INDIRECT(ADDRESS($A$29,$A44)),1,0,3)) &gt; 0,1,0)</f>
        <v>0</v>
      </c>
      <c r="AB44" s="23" t="s">
        <v>41</v>
      </c>
      <c r="AC44" s="3">
        <f t="shared" si="7"/>
        <v>0</v>
      </c>
      <c r="AD44" s="18">
        <f t="shared" si="11"/>
        <v>0</v>
      </c>
      <c r="AE44" s="31">
        <f t="shared" si="8"/>
        <v>0</v>
      </c>
      <c r="AF44" s="20"/>
    </row>
    <row r="45" spans="1:32" x14ac:dyDescent="0.2">
      <c r="A45">
        <f t="shared" si="3"/>
        <v>18</v>
      </c>
      <c r="B45" s="3">
        <f t="shared" si="4"/>
        <v>16</v>
      </c>
      <c r="C45" s="1" t="str">
        <f t="shared" si="5"/>
        <v>GSB</v>
      </c>
      <c r="D45" s="34">
        <f t="shared" si="6"/>
        <v>0</v>
      </c>
      <c r="E45" s="29" t="str">
        <f ca="1">INDIRECT(ADDRESS($A$29+4,A45))</f>
        <v/>
      </c>
      <c r="G45" s="50"/>
      <c r="H45" s="48"/>
      <c r="I45" s="29"/>
      <c r="J45" s="29"/>
      <c r="K45" s="29"/>
      <c r="L45" s="49"/>
      <c r="M45" s="49"/>
      <c r="O45" s="30"/>
      <c r="P45" s="30"/>
      <c r="Q45" s="30"/>
      <c r="S45" s="2" t="str">
        <f t="shared" si="12"/>
        <v/>
      </c>
      <c r="T45" s="30"/>
      <c r="U45" s="30"/>
      <c r="W45" s="3">
        <v>3</v>
      </c>
      <c r="X45" s="6">
        <v>16</v>
      </c>
      <c r="Y45" s="6">
        <v>1</v>
      </c>
      <c r="Z45" s="6">
        <v>0</v>
      </c>
      <c r="AA45" s="6">
        <f ca="1">IF(SUM(OFFSET(INDIRECT(ADDRESS($A$29,$A45)),1,0,3)) &gt; 0,1,0)</f>
        <v>0</v>
      </c>
      <c r="AB45" s="23" t="s">
        <v>15</v>
      </c>
      <c r="AC45" s="3">
        <f t="shared" si="7"/>
        <v>0</v>
      </c>
      <c r="AD45" s="18">
        <f t="shared" si="11"/>
        <v>0</v>
      </c>
      <c r="AE45" s="31">
        <f t="shared" si="8"/>
        <v>0</v>
      </c>
      <c r="AF45" s="20"/>
    </row>
    <row r="46" spans="1:32" x14ac:dyDescent="0.2">
      <c r="A46">
        <f t="shared" si="3"/>
        <v>19</v>
      </c>
      <c r="B46" s="3">
        <f t="shared" si="4"/>
        <v>17</v>
      </c>
      <c r="C46" s="1" t="str">
        <f t="shared" si="5"/>
        <v>KGI</v>
      </c>
      <c r="D46" s="34">
        <f t="shared" si="6"/>
        <v>0</v>
      </c>
      <c r="E46" s="29" t="str">
        <f ca="1">INDIRECT(ADDRESS($A$29+4,A46))</f>
        <v/>
      </c>
      <c r="G46" s="50"/>
      <c r="H46" s="48"/>
      <c r="I46" s="29"/>
      <c r="J46" s="29"/>
      <c r="K46" s="29"/>
      <c r="L46" s="49"/>
      <c r="M46" s="49"/>
      <c r="O46" s="30"/>
      <c r="P46" s="30"/>
      <c r="Q46" s="30"/>
      <c r="S46" s="2" t="str">
        <f t="shared" si="12"/>
        <v/>
      </c>
      <c r="T46" s="30"/>
      <c r="U46" s="30"/>
      <c r="W46" s="3">
        <v>3</v>
      </c>
      <c r="X46" s="6">
        <v>17</v>
      </c>
      <c r="Y46" s="6">
        <v>1</v>
      </c>
      <c r="Z46" s="6">
        <v>0</v>
      </c>
      <c r="AA46" s="6">
        <f ca="1">IF(SUM(OFFSET(INDIRECT(ADDRESS($A$29,$A46)),1,0,3)) &gt; 0,1,0)</f>
        <v>0</v>
      </c>
      <c r="AB46" s="23" t="s">
        <v>42</v>
      </c>
      <c r="AC46" s="3">
        <f t="shared" si="7"/>
        <v>0</v>
      </c>
      <c r="AD46" s="18">
        <f t="shared" si="11"/>
        <v>0</v>
      </c>
      <c r="AE46" s="31">
        <f t="shared" si="8"/>
        <v>0</v>
      </c>
      <c r="AF46" s="20"/>
    </row>
    <row r="47" spans="1:32" x14ac:dyDescent="0.2">
      <c r="A47">
        <f t="shared" si="3"/>
        <v>20</v>
      </c>
      <c r="B47" s="3">
        <f t="shared" si="4"/>
        <v>18</v>
      </c>
      <c r="C47" s="1" t="str">
        <f t="shared" si="5"/>
        <v>BAML</v>
      </c>
      <c r="D47" s="34">
        <f t="shared" si="6"/>
        <v>0</v>
      </c>
      <c r="E47" s="29" t="str">
        <f ca="1">INDIRECT(ADDRESS($A$29+4,A47))</f>
        <v/>
      </c>
      <c r="G47" s="50"/>
      <c r="H47" s="48"/>
      <c r="I47" s="29"/>
      <c r="J47" s="29"/>
      <c r="K47" s="29"/>
      <c r="L47" s="49"/>
      <c r="M47" s="49"/>
      <c r="O47" s="30"/>
      <c r="P47" s="30"/>
      <c r="Q47" s="30"/>
      <c r="S47" s="2" t="str">
        <f t="shared" si="12"/>
        <v/>
      </c>
      <c r="T47" s="30"/>
      <c r="U47" s="30"/>
      <c r="W47" s="3">
        <v>3</v>
      </c>
      <c r="X47" s="6">
        <v>18</v>
      </c>
      <c r="Y47" s="6">
        <v>1</v>
      </c>
      <c r="Z47" s="6">
        <v>0</v>
      </c>
      <c r="AA47" s="6">
        <f ca="1">IF(SUM(OFFSET(INDIRECT(ADDRESS($A$29,$A47)),1,0,3)) &gt; 0,1,0)</f>
        <v>0</v>
      </c>
      <c r="AB47" s="23" t="s">
        <v>43</v>
      </c>
      <c r="AC47" s="3">
        <f t="shared" si="7"/>
        <v>0</v>
      </c>
      <c r="AD47" s="18">
        <f t="shared" si="11"/>
        <v>0</v>
      </c>
      <c r="AE47" s="31">
        <f t="shared" si="8"/>
        <v>0</v>
      </c>
      <c r="AF47" s="20"/>
    </row>
    <row r="48" spans="1:32" x14ac:dyDescent="0.2">
      <c r="A48">
        <f t="shared" si="3"/>
        <v>21</v>
      </c>
      <c r="B48" s="3">
        <f t="shared" si="4"/>
        <v>19</v>
      </c>
      <c r="C48" s="1" t="str">
        <f t="shared" si="5"/>
        <v>JP_MORGAN</v>
      </c>
      <c r="D48" s="34">
        <f t="shared" si="6"/>
        <v>0</v>
      </c>
      <c r="E48" s="29" t="str">
        <f ca="1">INDIRECT(ADDRESS($A$29+4,A48))</f>
        <v/>
      </c>
      <c r="G48" s="50"/>
      <c r="H48" s="48"/>
      <c r="I48" s="29"/>
      <c r="J48" s="29"/>
      <c r="K48" s="29"/>
      <c r="L48" s="49"/>
      <c r="M48" s="49"/>
      <c r="O48" s="30"/>
      <c r="P48" s="30"/>
      <c r="Q48" s="30"/>
      <c r="S48" s="2" t="str">
        <f t="shared" si="12"/>
        <v/>
      </c>
      <c r="T48" s="30"/>
      <c r="U48" s="30"/>
      <c r="W48" s="3">
        <v>3</v>
      </c>
      <c r="X48" s="6">
        <v>19</v>
      </c>
      <c r="Y48" s="6">
        <v>1</v>
      </c>
      <c r="Z48" s="6">
        <v>0</v>
      </c>
      <c r="AA48" s="6">
        <f ca="1">IF(SUM(OFFSET(INDIRECT(ADDRESS($A$29,$A48)),1,0,3)) &gt; 0,1,0)</f>
        <v>0</v>
      </c>
      <c r="AB48" s="23" t="s">
        <v>44</v>
      </c>
      <c r="AC48" s="3">
        <f t="shared" si="7"/>
        <v>0</v>
      </c>
      <c r="AD48" s="18">
        <f t="shared" si="11"/>
        <v>0</v>
      </c>
      <c r="AE48" s="31">
        <f t="shared" si="8"/>
        <v>0</v>
      </c>
      <c r="AF48" s="20"/>
    </row>
    <row r="49" spans="1:32" x14ac:dyDescent="0.2">
      <c r="A49">
        <f t="shared" si="3"/>
        <v>22</v>
      </c>
      <c r="B49" s="3">
        <f t="shared" si="4"/>
        <v>20</v>
      </c>
      <c r="C49" s="1" t="str">
        <f t="shared" si="5"/>
        <v>ANZT</v>
      </c>
      <c r="D49" s="34">
        <f t="shared" si="6"/>
        <v>0</v>
      </c>
      <c r="E49" s="29" t="str">
        <f ca="1">INDIRECT(ADDRESS($A$29+4,A49))</f>
        <v/>
      </c>
      <c r="G49" s="50"/>
      <c r="H49" s="48"/>
      <c r="I49" s="29"/>
      <c r="J49" s="29"/>
      <c r="K49" s="29"/>
      <c r="L49" s="49"/>
      <c r="M49" s="49"/>
      <c r="O49" s="30"/>
      <c r="P49" s="30"/>
      <c r="Q49" s="30"/>
      <c r="S49" s="2" t="str">
        <f t="shared" si="12"/>
        <v/>
      </c>
      <c r="T49" s="30"/>
      <c r="U49" s="30"/>
      <c r="W49" s="3">
        <v>3</v>
      </c>
      <c r="X49" s="6">
        <v>20</v>
      </c>
      <c r="Y49" s="6">
        <v>1</v>
      </c>
      <c r="Z49" s="6">
        <v>0</v>
      </c>
      <c r="AA49" s="6">
        <f ca="1">IF(SUM(OFFSET(INDIRECT(ADDRESS($A$29,$A49)),1,0,3)) &gt; 0,1,0)</f>
        <v>0</v>
      </c>
      <c r="AB49" s="23" t="s">
        <v>45</v>
      </c>
      <c r="AC49" s="3">
        <f t="shared" si="7"/>
        <v>0</v>
      </c>
      <c r="AD49" s="18">
        <f t="shared" si="11"/>
        <v>0</v>
      </c>
      <c r="AE49" s="31">
        <f t="shared" si="8"/>
        <v>0</v>
      </c>
      <c r="AF49" s="20"/>
    </row>
    <row r="50" spans="1:32" x14ac:dyDescent="0.2">
      <c r="A50">
        <f t="shared" si="3"/>
        <v>23</v>
      </c>
      <c r="B50" s="3">
        <f t="shared" si="4"/>
        <v>21</v>
      </c>
      <c r="C50" s="1" t="str">
        <f t="shared" si="5"/>
        <v>DEUTSCHE_BANK</v>
      </c>
      <c r="D50" s="34">
        <f t="shared" si="6"/>
        <v>0</v>
      </c>
      <c r="E50" s="29" t="str">
        <f ca="1">INDIRECT(ADDRESS($A$29+4,A50))</f>
        <v/>
      </c>
      <c r="G50" s="50"/>
      <c r="H50" s="48"/>
      <c r="I50" s="29"/>
      <c r="J50" s="29"/>
      <c r="K50" s="29"/>
      <c r="L50" s="49"/>
      <c r="M50" s="49"/>
      <c r="O50" s="30"/>
      <c r="P50" s="30"/>
      <c r="Q50" s="30"/>
      <c r="S50" s="2" t="str">
        <f t="shared" si="12"/>
        <v/>
      </c>
      <c r="T50" s="30"/>
      <c r="U50" s="30"/>
      <c r="W50" s="3">
        <v>3</v>
      </c>
      <c r="X50" s="6">
        <v>21</v>
      </c>
      <c r="Y50" s="6">
        <v>1</v>
      </c>
      <c r="Z50" s="6">
        <v>0</v>
      </c>
      <c r="AA50" s="6">
        <f ca="1">IF(SUM(OFFSET(INDIRECT(ADDRESS($A$29,$A50)),1,0,3)) &gt; 0,1,0)</f>
        <v>0</v>
      </c>
      <c r="AB50" s="23" t="s">
        <v>46</v>
      </c>
      <c r="AC50" s="3">
        <f t="shared" si="7"/>
        <v>0</v>
      </c>
      <c r="AD50" s="18">
        <f t="shared" si="11"/>
        <v>0</v>
      </c>
      <c r="AE50" s="31">
        <f t="shared" si="8"/>
        <v>0</v>
      </c>
      <c r="AF50" s="20"/>
    </row>
    <row r="51" spans="1:32" x14ac:dyDescent="0.2">
      <c r="A51">
        <f t="shared" si="3"/>
        <v>24</v>
      </c>
      <c r="B51" s="3">
        <f t="shared" si="4"/>
        <v>22</v>
      </c>
      <c r="C51" s="1" t="str">
        <f t="shared" si="5"/>
        <v>CNS</v>
      </c>
      <c r="D51" s="34">
        <f t="shared" si="6"/>
        <v>0</v>
      </c>
      <c r="E51" s="29" t="str">
        <f ca="1">INDIRECT(ADDRESS($A$29+4,A51))</f>
        <v/>
      </c>
      <c r="O51" s="30"/>
      <c r="P51" s="30"/>
      <c r="Q51" s="30"/>
      <c r="S51" s="2" t="str">
        <f t="shared" si="12"/>
        <v/>
      </c>
      <c r="T51" s="30"/>
      <c r="U51" s="30"/>
      <c r="W51" s="3">
        <v>3</v>
      </c>
      <c r="X51" s="6">
        <v>22</v>
      </c>
      <c r="Y51" s="6">
        <v>1</v>
      </c>
      <c r="Z51" s="6">
        <v>0</v>
      </c>
      <c r="AA51" s="6">
        <f ca="1">IF(SUM(OFFSET(INDIRECT(ADDRESS($A$29,$A51)),1,0,3)) &gt; 0,1,0)</f>
        <v>0</v>
      </c>
      <c r="AB51" s="23" t="s">
        <v>47</v>
      </c>
      <c r="AC51" s="3">
        <f t="shared" si="7"/>
        <v>0</v>
      </c>
      <c r="AD51" s="18">
        <f t="shared" si="11"/>
        <v>0</v>
      </c>
      <c r="AE51" s="31">
        <f t="shared" si="8"/>
        <v>0</v>
      </c>
      <c r="AF51" s="20"/>
    </row>
    <row r="52" spans="1:32" ht="15" thickBot="1" x14ac:dyDescent="0.25">
      <c r="A52">
        <f t="shared" si="3"/>
        <v>25</v>
      </c>
      <c r="B52" s="3">
        <f t="shared" si="4"/>
        <v>23</v>
      </c>
      <c r="C52" s="1" t="str">
        <f t="shared" si="5"/>
        <v>PHATRA</v>
      </c>
      <c r="D52" s="34">
        <f t="shared" si="6"/>
        <v>0</v>
      </c>
      <c r="E52" s="29" t="str">
        <f ca="1">INDIRECT(ADDRESS($A$29+4,A52))</f>
        <v/>
      </c>
      <c r="N52" s="57" t="s">
        <v>68</v>
      </c>
      <c r="O52" s="58">
        <f>H31-P52</f>
        <v>3200</v>
      </c>
      <c r="P52" s="64">
        <f>SUM(P43:P51)</f>
        <v>3000</v>
      </c>
      <c r="Q52" s="64">
        <f>SUM(Q43:Q51)</f>
        <v>0</v>
      </c>
      <c r="R52" s="57" t="s">
        <v>69</v>
      </c>
      <c r="S52" s="58">
        <f>H31-T52</f>
        <v>6200</v>
      </c>
      <c r="T52" s="64">
        <f>SUM(T43:T51)</f>
        <v>0</v>
      </c>
      <c r="U52" s="64">
        <f>SUM(U43:U51)</f>
        <v>0</v>
      </c>
      <c r="W52" s="3">
        <v>3</v>
      </c>
      <c r="X52" s="6">
        <v>23</v>
      </c>
      <c r="Y52" s="6">
        <v>1</v>
      </c>
      <c r="Z52" s="6">
        <v>0</v>
      </c>
      <c r="AA52" s="6">
        <f ca="1">IF(SUM(OFFSET(INDIRECT(ADDRESS($A$29,$A52)),1,0,3)) &gt; 0,1,0)</f>
        <v>0</v>
      </c>
      <c r="AB52" s="23" t="s">
        <v>48</v>
      </c>
      <c r="AC52" s="3">
        <f t="shared" si="7"/>
        <v>0</v>
      </c>
      <c r="AD52" s="18">
        <f t="shared" si="11"/>
        <v>0</v>
      </c>
      <c r="AE52" s="31">
        <f t="shared" si="8"/>
        <v>0</v>
      </c>
      <c r="AF52" s="20"/>
    </row>
    <row r="53" spans="1:32" ht="15" thickTop="1" x14ac:dyDescent="0.2">
      <c r="A53">
        <f t="shared" si="3"/>
        <v>26</v>
      </c>
      <c r="B53" s="3">
        <f t="shared" si="4"/>
        <v>24</v>
      </c>
      <c r="C53" s="1" t="str">
        <f t="shared" si="5"/>
        <v>MBKET</v>
      </c>
      <c r="D53" s="34">
        <f t="shared" si="6"/>
        <v>0</v>
      </c>
      <c r="E53" s="29" t="str">
        <f ca="1">INDIRECT(ADDRESS($A$29+4,A53))</f>
        <v/>
      </c>
      <c r="W53" s="3">
        <v>3</v>
      </c>
      <c r="X53" s="6">
        <v>24</v>
      </c>
      <c r="Y53" s="6">
        <v>1</v>
      </c>
      <c r="Z53" s="6">
        <v>0</v>
      </c>
      <c r="AA53" s="6">
        <f ca="1">IF(SUM(OFFSET(INDIRECT(ADDRESS($A$29,$A53)),1,0,3)) &gt; 0,1,0)</f>
        <v>0</v>
      </c>
      <c r="AB53" s="23" t="s">
        <v>49</v>
      </c>
      <c r="AC53" s="3">
        <f t="shared" si="7"/>
        <v>0</v>
      </c>
      <c r="AD53" s="18">
        <f t="shared" si="11"/>
        <v>0</v>
      </c>
      <c r="AE53" s="21">
        <f t="shared" si="8"/>
        <v>0</v>
      </c>
      <c r="AF53" s="21">
        <f>SUMIF($W$30:$W$53,$W$53,$AD$30:$AD$53)/$AD$54</f>
        <v>0</v>
      </c>
    </row>
    <row r="54" spans="1:32" ht="15" thickBot="1" x14ac:dyDescent="0.25">
      <c r="D54" s="64">
        <f>SUM(D30:D53)</f>
        <v>9600</v>
      </c>
      <c r="E54" s="67">
        <f ca="1">IFERROR(AVERAGE(E30:E53),"")</f>
        <v>2.7461904761904763</v>
      </c>
      <c r="O54" s="40" t="str">
        <f>"Auction Excute : " &amp;G32</f>
        <v>Auction Excute : CB19207A</v>
      </c>
      <c r="S54" s="4" t="s">
        <v>19</v>
      </c>
      <c r="AB54" s="8" t="s">
        <v>18</v>
      </c>
      <c r="AC54" s="65">
        <f>SUM(AC30:AC53)</f>
        <v>9200</v>
      </c>
      <c r="AD54" s="66">
        <f>SUM(AD30:AD53)</f>
        <v>9200</v>
      </c>
    </row>
    <row r="55" spans="1:32" ht="15" thickTop="1" x14ac:dyDescent="0.2">
      <c r="A55" s="63" t="s">
        <v>71</v>
      </c>
      <c r="G55" s="4" t="s">
        <v>70</v>
      </c>
      <c r="J55" s="54" t="s">
        <v>25</v>
      </c>
      <c r="K55" s="55"/>
      <c r="L55" s="56"/>
      <c r="O55" s="24" t="s">
        <v>0</v>
      </c>
      <c r="P55" s="24" t="s">
        <v>4</v>
      </c>
      <c r="Q55" s="24" t="s">
        <v>25</v>
      </c>
      <c r="S55" s="24" t="s">
        <v>0</v>
      </c>
      <c r="T55" s="24" t="s">
        <v>4</v>
      </c>
      <c r="U55" s="24" t="s">
        <v>25</v>
      </c>
    </row>
    <row r="56" spans="1:32" x14ac:dyDescent="0.2">
      <c r="B56" s="4" t="s">
        <v>29</v>
      </c>
      <c r="G56" s="15" t="s">
        <v>26</v>
      </c>
      <c r="H56" s="16" t="s">
        <v>18</v>
      </c>
      <c r="I56" s="16" t="s">
        <v>21</v>
      </c>
      <c r="J56" s="15" t="s">
        <v>6</v>
      </c>
      <c r="K56" s="15" t="s">
        <v>7</v>
      </c>
      <c r="L56" s="15" t="s">
        <v>8</v>
      </c>
      <c r="O56" s="30"/>
      <c r="P56" s="30"/>
      <c r="Q56" s="14"/>
      <c r="S56" s="2" t="str">
        <f>IF(ISBLANK(O56),"",O56)</f>
        <v/>
      </c>
      <c r="T56" s="30"/>
      <c r="U56" s="14"/>
    </row>
    <row r="57" spans="1:32" x14ac:dyDescent="0.2">
      <c r="A57" t="s">
        <v>13</v>
      </c>
      <c r="B57" t="s">
        <v>30</v>
      </c>
      <c r="C57" s="11">
        <v>1</v>
      </c>
      <c r="G57" s="41" t="str">
        <f>G30</f>
        <v>TB19327A</v>
      </c>
      <c r="H57" s="14"/>
      <c r="I57" s="14"/>
      <c r="J57" s="14"/>
      <c r="K57" s="14"/>
      <c r="L57" s="14"/>
      <c r="O57" s="30"/>
      <c r="P57" s="30"/>
      <c r="Q57" s="30"/>
      <c r="S57" s="2" t="str">
        <f t="shared" ref="S57:S64" si="13">IF(ISBLANK(O57),"",O57)</f>
        <v/>
      </c>
      <c r="T57" s="30"/>
      <c r="U57" s="30"/>
    </row>
    <row r="58" spans="1:32" x14ac:dyDescent="0.2">
      <c r="A58" t="s">
        <v>11</v>
      </c>
      <c r="B58" t="s">
        <v>31</v>
      </c>
      <c r="C58" s="11">
        <v>0.4</v>
      </c>
      <c r="G58" s="42" t="str">
        <f>G31</f>
        <v>CB19209A</v>
      </c>
      <c r="H58" s="14"/>
      <c r="I58" s="14"/>
      <c r="J58" s="14"/>
      <c r="K58" s="14"/>
      <c r="L58" s="14"/>
      <c r="O58" s="30"/>
      <c r="P58" s="30"/>
      <c r="Q58" s="30"/>
      <c r="S58" s="2" t="str">
        <f t="shared" si="13"/>
        <v/>
      </c>
      <c r="T58" s="30"/>
      <c r="U58" s="30"/>
    </row>
    <row r="59" spans="1:32" x14ac:dyDescent="0.2">
      <c r="A59" t="s">
        <v>10</v>
      </c>
      <c r="B59" t="s">
        <v>32</v>
      </c>
      <c r="C59" s="11">
        <v>0.1</v>
      </c>
      <c r="G59" s="43" t="str">
        <f>G32</f>
        <v>CB19207A</v>
      </c>
      <c r="H59" s="14"/>
      <c r="I59" s="14"/>
      <c r="J59" s="14"/>
      <c r="K59" s="14"/>
      <c r="L59" s="14"/>
      <c r="O59" s="30"/>
      <c r="P59" s="30"/>
      <c r="Q59" s="30"/>
      <c r="S59" s="2" t="str">
        <f t="shared" si="13"/>
        <v/>
      </c>
      <c r="T59" s="30"/>
      <c r="U59" s="30"/>
    </row>
    <row r="60" spans="1:32" x14ac:dyDescent="0.2">
      <c r="A60" t="s">
        <v>34</v>
      </c>
      <c r="O60" s="30"/>
      <c r="P60" s="30"/>
      <c r="Q60" s="30"/>
      <c r="S60" s="2" t="str">
        <f t="shared" si="13"/>
        <v/>
      </c>
      <c r="T60" s="30"/>
      <c r="U60" s="30"/>
    </row>
    <row r="61" spans="1:32" x14ac:dyDescent="0.2">
      <c r="O61" s="30"/>
      <c r="P61" s="30"/>
      <c r="Q61" s="30"/>
      <c r="S61" s="2" t="str">
        <f t="shared" si="13"/>
        <v/>
      </c>
      <c r="T61" s="30"/>
      <c r="U61" s="30"/>
    </row>
    <row r="62" spans="1:32" x14ac:dyDescent="0.2">
      <c r="O62" s="30"/>
      <c r="P62" s="30"/>
      <c r="Q62" s="30"/>
      <c r="S62" s="2" t="str">
        <f t="shared" si="13"/>
        <v/>
      </c>
      <c r="T62" s="30"/>
      <c r="U62" s="30"/>
    </row>
    <row r="63" spans="1:32" x14ac:dyDescent="0.2">
      <c r="O63" s="30"/>
      <c r="P63" s="30"/>
      <c r="Q63" s="30"/>
      <c r="S63" s="2" t="str">
        <f t="shared" si="13"/>
        <v/>
      </c>
      <c r="T63" s="30"/>
      <c r="U63" s="30"/>
    </row>
    <row r="64" spans="1:32" x14ac:dyDescent="0.2">
      <c r="O64" s="30"/>
      <c r="P64" s="30"/>
      <c r="Q64" s="30"/>
      <c r="S64" s="2" t="str">
        <f t="shared" si="13"/>
        <v/>
      </c>
      <c r="T64" s="30"/>
      <c r="U64" s="30"/>
    </row>
    <row r="65" spans="14:21" ht="15" thickBot="1" x14ac:dyDescent="0.25">
      <c r="N65" s="57" t="s">
        <v>68</v>
      </c>
      <c r="O65" s="58">
        <f>H32-P65</f>
        <v>0</v>
      </c>
      <c r="P65" s="64">
        <f>SUM(P56:P64)</f>
        <v>0</v>
      </c>
      <c r="Q65" s="64">
        <f>SUM(Q56:Q64)</f>
        <v>0</v>
      </c>
      <c r="R65" s="57" t="s">
        <v>69</v>
      </c>
      <c r="S65" s="58">
        <f>H32-T65</f>
        <v>0</v>
      </c>
      <c r="T65" s="64">
        <f>SUM(T56:T64)</f>
        <v>0</v>
      </c>
      <c r="U65" s="64">
        <f>SUM(U56:U64)</f>
        <v>0</v>
      </c>
    </row>
    <row r="66" spans="14:21" ht="15" thickTop="1" x14ac:dyDescent="0.2"/>
  </sheetData>
  <mergeCells count="4">
    <mergeCell ref="B2:AC2"/>
    <mergeCell ref="B9:AC9"/>
    <mergeCell ref="B16:AC16"/>
    <mergeCell ref="J55:L55"/>
  </mergeCells>
  <conditionalFormatting sqref="C7:Z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2">
    <cfRule type="cellIs" dxfId="109" priority="47" operator="greaterThan">
      <formula>0.5</formula>
    </cfRule>
    <cfRule type="cellIs" dxfId="108" priority="48" operator="lessThan">
      <formula>0.5</formula>
    </cfRule>
  </conditionalFormatting>
  <conditionalFormatting sqref="C14:Z1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:Z2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0:AE53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{F81358A1-B9DF-4043-B25A-791FAA0CF809}</x14:id>
        </ext>
      </extLst>
    </cfRule>
  </conditionalFormatting>
  <conditionalFormatting sqref="E30:E5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107" priority="65" operator="lessThan">
      <formula>$C$59</formula>
    </cfRule>
    <cfRule type="cellIs" dxfId="106" priority="66" operator="greaterThan">
      <formula>$C$59</formula>
    </cfRule>
  </conditionalFormatting>
  <conditionalFormatting sqref="AF37">
    <cfRule type="cellIs" dxfId="105" priority="67" operator="greaterThan">
      <formula>$C$58</formula>
    </cfRule>
    <cfRule type="cellIs" dxfId="104" priority="68" operator="lessThan">
      <formula>$C$58</formula>
    </cfRule>
  </conditionalFormatting>
  <conditionalFormatting sqref="O39">
    <cfRule type="cellIs" dxfId="101" priority="24" operator="lessThan">
      <formula>0</formula>
    </cfRule>
    <cfRule type="cellIs" dxfId="100" priority="29" operator="equal">
      <formula>0</formula>
    </cfRule>
    <cfRule type="cellIs" dxfId="99" priority="30" operator="greaterThan">
      <formula>0</formula>
    </cfRule>
  </conditionalFormatting>
  <conditionalFormatting sqref="S52">
    <cfRule type="cellIs" dxfId="94" priority="4" operator="lessThan">
      <formula>0</formula>
    </cfRule>
    <cfRule type="cellIs" dxfId="93" priority="5" operator="equal">
      <formula>0</formula>
    </cfRule>
    <cfRule type="cellIs" dxfId="92" priority="6" operator="greaterThan">
      <formula>0</formula>
    </cfRule>
  </conditionalFormatting>
  <conditionalFormatting sqref="O52">
    <cfRule type="cellIs" dxfId="88" priority="15" operator="lessThan">
      <formula>0</formula>
    </cfRule>
    <cfRule type="cellIs" dxfId="87" priority="16" operator="equal">
      <formula>0</formula>
    </cfRule>
    <cfRule type="cellIs" dxfId="86" priority="17" operator="greaterThan">
      <formula>0</formula>
    </cfRule>
  </conditionalFormatting>
  <conditionalFormatting sqref="O65">
    <cfRule type="cellIs" dxfId="85" priority="12" operator="lessThan">
      <formula>0</formula>
    </cfRule>
    <cfRule type="cellIs" dxfId="84" priority="13" operator="equal">
      <formula>0</formula>
    </cfRule>
    <cfRule type="cellIs" dxfId="83" priority="14" operator="greaterThan">
      <formula>0</formula>
    </cfRule>
  </conditionalFormatting>
  <conditionalFormatting sqref="S39">
    <cfRule type="cellIs" dxfId="80" priority="7" operator="lessThan">
      <formula>0</formula>
    </cfRule>
    <cfRule type="cellIs" dxfId="79" priority="8" operator="equal">
      <formula>0</formula>
    </cfRule>
    <cfRule type="cellIs" dxfId="78" priority="9" operator="greaterThan">
      <formula>0</formula>
    </cfRule>
  </conditionalFormatting>
  <conditionalFormatting sqref="S65">
    <cfRule type="cellIs" dxfId="74" priority="1" operator="lessThan">
      <formula>0</formula>
    </cfRule>
    <cfRule type="cellIs" dxfId="73" priority="2" operator="equal">
      <formula>0</formula>
    </cfRule>
    <cfRule type="cellIs" dxfId="72" priority="3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1358A1-B9DF-4043-B25A-791FAA0CF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62" id="{60FD38A3-2561-481C-BDAB-836B2DD1A07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64" id="{5F847777-C564-4492-9119-49D885FF7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A958-4A24-425A-AB1A-8FB33DF19A34}">
  <sheetPr codeName="Sheet5"/>
  <dimension ref="A1:AS66"/>
  <sheetViews>
    <sheetView topLeftCell="B1" zoomScale="70" zoomScaleNormal="70" workbookViewId="0">
      <selection activeCell="E49" sqref="E49"/>
    </sheetView>
  </sheetViews>
  <sheetFormatPr defaultRowHeight="14.25" outlineLevelRow="1" outlineLevelCol="1" x14ac:dyDescent="0.2"/>
  <cols>
    <col min="1" max="1" width="8.125" hidden="1" customWidth="1"/>
    <col min="2" max="2" width="9.5" customWidth="1"/>
    <col min="3" max="3" width="12.5" customWidth="1"/>
    <col min="4" max="4" width="13.125" customWidth="1"/>
    <col min="5" max="5" width="12" customWidth="1"/>
    <col min="6" max="6" width="11.375" customWidth="1"/>
    <col min="7" max="7" width="13.375" customWidth="1"/>
    <col min="8" max="8" width="15.25" customWidth="1"/>
    <col min="9" max="9" width="18.125" customWidth="1"/>
    <col min="10" max="10" width="18.625" customWidth="1"/>
    <col min="11" max="11" width="16.2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2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9" t="str">
        <f xml:space="preserve"> "Auction Dashboard "</f>
        <v xml:space="preserve">Auction Dashboard </v>
      </c>
      <c r="D1" s="62">
        <v>43375</v>
      </c>
      <c r="E1" s="61"/>
    </row>
    <row r="2" spans="2:45" ht="16.149999999999999" customHeight="1" x14ac:dyDescent="0.2">
      <c r="B2" s="51" t="str">
        <f>"Indicative yield : " &amp;G30</f>
        <v>Indicative yield : TB19327A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3"/>
    </row>
    <row r="3" spans="2:45" x14ac:dyDescent="0.2">
      <c r="B3" s="27" t="s">
        <v>0</v>
      </c>
      <c r="C3" s="28" t="str">
        <f t="array" ref="C3:Z3">TRANSPOSE($AB$30:$AB$53)</f>
        <v>BNP</v>
      </c>
      <c r="D3" s="28" t="str">
        <v>BBL</v>
      </c>
      <c r="E3" s="28" t="str">
        <v>KBANK</v>
      </c>
      <c r="F3" s="28" t="str">
        <v>TMB</v>
      </c>
      <c r="G3" s="28" t="str">
        <v>KTB</v>
      </c>
      <c r="H3" s="28" t="str">
        <v>CIMBT</v>
      </c>
      <c r="I3" s="28" t="str">
        <v>BAY</v>
      </c>
      <c r="J3" s="28" t="str">
        <v>SCB</v>
      </c>
      <c r="K3" s="28" t="str">
        <v>TBANK</v>
      </c>
      <c r="L3" s="28" t="str">
        <v>TISCOBANK</v>
      </c>
      <c r="M3" s="28" t="str">
        <v>SCBT</v>
      </c>
      <c r="N3" s="28" t="str">
        <v>HSBC</v>
      </c>
      <c r="O3" s="28" t="str">
        <v>CITIBANK</v>
      </c>
      <c r="P3" s="28" t="str">
        <v>KKP</v>
      </c>
      <c r="Q3" s="28" t="str">
        <v>UOBT</v>
      </c>
      <c r="R3" s="28" t="str">
        <v>GSB</v>
      </c>
      <c r="S3" s="28" t="str">
        <v>KGI</v>
      </c>
      <c r="T3" s="28" t="str">
        <v>BAML</v>
      </c>
      <c r="U3" s="28" t="str">
        <v>JP_MORGAN</v>
      </c>
      <c r="V3" s="28" t="str">
        <v>ANZT</v>
      </c>
      <c r="W3" s="28" t="str">
        <v>DEUTSCHE_BANK</v>
      </c>
      <c r="X3" s="28" t="str">
        <v>CNS</v>
      </c>
      <c r="Y3" s="28" t="str">
        <v>PHATRA</v>
      </c>
      <c r="Z3" s="28" t="str">
        <v>MBKET</v>
      </c>
      <c r="AA3" s="12" t="s">
        <v>6</v>
      </c>
      <c r="AB3" s="12" t="s">
        <v>7</v>
      </c>
      <c r="AC3" s="12" t="s">
        <v>8</v>
      </c>
      <c r="AD3" s="37" t="str">
        <f>G30</f>
        <v>TB19327A</v>
      </c>
      <c r="AS3" s="4"/>
    </row>
    <row r="4" spans="2:45" x14ac:dyDescent="0.2">
      <c r="B4" s="27" t="s">
        <v>1</v>
      </c>
      <c r="C4" s="7"/>
      <c r="D4" s="7">
        <v>2.1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25">
        <f>MIN(C4:Z4)</f>
        <v>2.1</v>
      </c>
      <c r="AB4" s="25">
        <f>MAX(C4:Z4)</f>
        <v>2.1</v>
      </c>
      <c r="AC4" s="25">
        <f>IFERROR(AVERAGE(C4:Z4),0)</f>
        <v>2.1</v>
      </c>
    </row>
    <row r="5" spans="2:45" x14ac:dyDescent="0.2">
      <c r="B5" s="27" t="s">
        <v>2</v>
      </c>
      <c r="C5" s="7"/>
      <c r="D5" s="7"/>
      <c r="E5" s="7"/>
      <c r="F5" s="7">
        <v>2</v>
      </c>
      <c r="G5" s="7"/>
      <c r="H5" s="7"/>
      <c r="I5" s="7"/>
      <c r="J5" s="7"/>
      <c r="K5" s="7"/>
      <c r="L5" s="7">
        <v>1.5</v>
      </c>
      <c r="M5" s="7"/>
      <c r="N5" s="7">
        <v>4</v>
      </c>
      <c r="O5" s="7"/>
      <c r="P5" s="7">
        <v>3</v>
      </c>
      <c r="Q5" s="7"/>
      <c r="R5" s="7"/>
      <c r="S5" s="7"/>
      <c r="T5" s="7"/>
      <c r="U5" s="7"/>
      <c r="V5" s="7"/>
      <c r="W5" s="7"/>
      <c r="X5" s="7"/>
      <c r="Y5" s="7"/>
      <c r="Z5" s="7"/>
      <c r="AA5" s="25">
        <f>MIN(C5:Z5)</f>
        <v>1.5</v>
      </c>
      <c r="AB5" s="25">
        <f>MAX(C5:Z5)</f>
        <v>4</v>
      </c>
      <c r="AC5" s="25">
        <f>IFERROR(AVERAGE(C5:Z5),0)</f>
        <v>2.625</v>
      </c>
    </row>
    <row r="6" spans="2:45" x14ac:dyDescent="0.2">
      <c r="B6" s="27" t="s">
        <v>3</v>
      </c>
      <c r="C6" s="13"/>
      <c r="D6" s="13"/>
      <c r="E6" s="13"/>
      <c r="F6" s="13"/>
      <c r="G6" s="13"/>
      <c r="H6" s="13"/>
      <c r="I6" s="13">
        <v>3</v>
      </c>
      <c r="J6" s="13">
        <v>2.2999999999999998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25">
        <f>MIN(C6:Z6)</f>
        <v>2.2999999999999998</v>
      </c>
      <c r="AB6" s="25">
        <f>MAX(C6:Z6)</f>
        <v>3</v>
      </c>
      <c r="AC6" s="25">
        <f>IFERROR(AVERAGE(C6:Z6),0)</f>
        <v>2.65</v>
      </c>
    </row>
    <row r="7" spans="2:45" x14ac:dyDescent="0.2">
      <c r="B7" s="27" t="s">
        <v>8</v>
      </c>
      <c r="C7" s="29" t="str">
        <f>IFERROR(AVERAGE(C4:C6),"")</f>
        <v/>
      </c>
      <c r="D7" s="29">
        <f t="shared" ref="D7:Z7" si="0">IFERROR(AVERAGE(D4:D6),"")</f>
        <v>2.1</v>
      </c>
      <c r="E7" s="29" t="str">
        <f t="shared" si="0"/>
        <v/>
      </c>
      <c r="F7" s="29">
        <f t="shared" si="0"/>
        <v>2</v>
      </c>
      <c r="G7" s="29" t="str">
        <f t="shared" si="0"/>
        <v/>
      </c>
      <c r="H7" s="29" t="str">
        <f t="shared" si="0"/>
        <v/>
      </c>
      <c r="I7" s="29">
        <f t="shared" si="0"/>
        <v>3</v>
      </c>
      <c r="J7" s="29">
        <f t="shared" si="0"/>
        <v>2.2999999999999998</v>
      </c>
      <c r="K7" s="29" t="str">
        <f t="shared" si="0"/>
        <v/>
      </c>
      <c r="L7" s="29">
        <f t="shared" si="0"/>
        <v>1.5</v>
      </c>
      <c r="M7" s="29" t="str">
        <f t="shared" si="0"/>
        <v/>
      </c>
      <c r="N7" s="29">
        <f t="shared" si="0"/>
        <v>4</v>
      </c>
      <c r="O7" s="29" t="str">
        <f t="shared" si="0"/>
        <v/>
      </c>
      <c r="P7" s="29">
        <f t="shared" si="0"/>
        <v>3</v>
      </c>
      <c r="Q7" s="29" t="str">
        <f t="shared" si="0"/>
        <v/>
      </c>
      <c r="R7" s="29" t="str">
        <f t="shared" si="0"/>
        <v/>
      </c>
      <c r="S7" s="29" t="str">
        <f t="shared" si="0"/>
        <v/>
      </c>
      <c r="T7" s="29" t="str">
        <f t="shared" si="0"/>
        <v/>
      </c>
      <c r="U7" s="29" t="str">
        <f t="shared" si="0"/>
        <v/>
      </c>
      <c r="V7" s="29" t="str">
        <f t="shared" si="0"/>
        <v/>
      </c>
      <c r="W7" s="29" t="str">
        <f t="shared" si="0"/>
        <v/>
      </c>
      <c r="X7" s="29" t="str">
        <f t="shared" si="0"/>
        <v/>
      </c>
      <c r="Y7" s="29" t="str">
        <f t="shared" si="0"/>
        <v/>
      </c>
      <c r="Z7" s="29" t="str">
        <f t="shared" si="0"/>
        <v/>
      </c>
      <c r="AA7" s="26">
        <f>MAX(AA4:AA6)</f>
        <v>2.2999999999999998</v>
      </c>
      <c r="AB7" s="26">
        <f>MAX(AB4:AB6)</f>
        <v>4</v>
      </c>
      <c r="AC7" s="26">
        <f>MAX(AC4:AC6)</f>
        <v>2.65</v>
      </c>
    </row>
    <row r="9" spans="2:45" outlineLevel="1" x14ac:dyDescent="0.2">
      <c r="B9" s="51" t="str">
        <f>"Indicative yield : " &amp;G31</f>
        <v>Indicative yield : CB19209A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3"/>
    </row>
    <row r="10" spans="2:45" outlineLevel="1" x14ac:dyDescent="0.2">
      <c r="B10" s="27" t="s">
        <v>0</v>
      </c>
      <c r="C10" s="28" t="str">
        <f t="array" ref="C10:Z10">TRANSPOSE($AB$30:$AB$53)</f>
        <v>BNP</v>
      </c>
      <c r="D10" s="28" t="str">
        <v>BBL</v>
      </c>
      <c r="E10" s="28" t="str">
        <v>KBANK</v>
      </c>
      <c r="F10" s="28" t="str">
        <v>TMB</v>
      </c>
      <c r="G10" s="28" t="str">
        <v>KTB</v>
      </c>
      <c r="H10" s="28" t="str">
        <v>CIMBT</v>
      </c>
      <c r="I10" s="28" t="str">
        <v>BAY</v>
      </c>
      <c r="J10" s="28" t="str">
        <v>SCB</v>
      </c>
      <c r="K10" s="28" t="str">
        <v>TBANK</v>
      </c>
      <c r="L10" s="28" t="str">
        <v>TISCOBANK</v>
      </c>
      <c r="M10" s="28" t="str">
        <v>SCBT</v>
      </c>
      <c r="N10" s="28" t="str">
        <v>HSBC</v>
      </c>
      <c r="O10" s="28" t="str">
        <v>CITIBANK</v>
      </c>
      <c r="P10" s="28" t="str">
        <v>KKP</v>
      </c>
      <c r="Q10" s="28" t="str">
        <v>UOBT</v>
      </c>
      <c r="R10" s="28" t="str">
        <v>GSB</v>
      </c>
      <c r="S10" s="28" t="str">
        <v>KGI</v>
      </c>
      <c r="T10" s="28" t="str">
        <v>BAML</v>
      </c>
      <c r="U10" s="28" t="str">
        <v>JP_MORGAN</v>
      </c>
      <c r="V10" s="28" t="str">
        <v>ANZT</v>
      </c>
      <c r="W10" s="28" t="str">
        <v>DEUTSCHE_BANK</v>
      </c>
      <c r="X10" s="28" t="str">
        <v>CNS</v>
      </c>
      <c r="Y10" s="28" t="str">
        <v>PHATRA</v>
      </c>
      <c r="Z10" s="28" t="str">
        <v>MBKET</v>
      </c>
      <c r="AA10" s="12" t="s">
        <v>6</v>
      </c>
      <c r="AB10" s="12" t="s">
        <v>7</v>
      </c>
      <c r="AC10" s="12" t="s">
        <v>8</v>
      </c>
      <c r="AD10" s="37" t="str">
        <f>G31</f>
        <v>CB19209A</v>
      </c>
    </row>
    <row r="11" spans="2:45" outlineLevel="1" x14ac:dyDescent="0.2">
      <c r="B11" s="27" t="s">
        <v>1</v>
      </c>
      <c r="C11" s="7">
        <v>2.2000000000000002</v>
      </c>
      <c r="D11" s="7">
        <v>2.1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>
        <f>MIN(C11:S11)</f>
        <v>2.1</v>
      </c>
      <c r="AB11" s="25">
        <f>MAX(C11:S11)</f>
        <v>2.2000000000000002</v>
      </c>
      <c r="AC11" s="25">
        <f>IFERROR(AVERAGE(C11:Z11),0)</f>
        <v>2.1500000000000004</v>
      </c>
    </row>
    <row r="12" spans="2:45" outlineLevel="1" x14ac:dyDescent="0.2">
      <c r="B12" s="27" t="s">
        <v>2</v>
      </c>
      <c r="C12" s="7">
        <v>2.5</v>
      </c>
      <c r="D12" s="7"/>
      <c r="E12" s="7"/>
      <c r="F12" s="7">
        <v>2</v>
      </c>
      <c r="G12" s="7"/>
      <c r="H12" s="7">
        <v>6</v>
      </c>
      <c r="I12" s="7"/>
      <c r="J12" s="7"/>
      <c r="K12" s="7"/>
      <c r="L12" s="7">
        <v>1.5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>
        <f>MIN(C12:S12)</f>
        <v>1.5</v>
      </c>
      <c r="AB12" s="25">
        <f>MAX(C12:S12)</f>
        <v>6</v>
      </c>
      <c r="AC12" s="25">
        <f>IFERROR(AVERAGE(C12:Z12),0)</f>
        <v>3</v>
      </c>
    </row>
    <row r="13" spans="2:45" outlineLevel="1" x14ac:dyDescent="0.2">
      <c r="B13" s="27" t="s">
        <v>3</v>
      </c>
      <c r="C13" s="13">
        <v>2.12</v>
      </c>
      <c r="D13" s="13"/>
      <c r="E13" s="13"/>
      <c r="F13" s="13"/>
      <c r="G13" s="13"/>
      <c r="H13" s="13"/>
      <c r="I13" s="13">
        <v>3</v>
      </c>
      <c r="J13" s="13">
        <v>2.2999999999999998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25">
        <f>MIN(C13:S13)</f>
        <v>2.12</v>
      </c>
      <c r="AB13" s="25">
        <f>MAX(C13:S13)</f>
        <v>3</v>
      </c>
      <c r="AC13" s="25">
        <f>IFERROR(AVERAGE(C13:Z13),0)</f>
        <v>2.4733333333333332</v>
      </c>
    </row>
    <row r="14" spans="2:45" outlineLevel="1" x14ac:dyDescent="0.2">
      <c r="B14" s="27" t="s">
        <v>8</v>
      </c>
      <c r="C14" s="29">
        <f t="shared" ref="C14:Z14" si="1">IFERROR(AVERAGE(C11:C13),"")</f>
        <v>2.2733333333333334</v>
      </c>
      <c r="D14" s="29">
        <f t="shared" si="1"/>
        <v>2.1</v>
      </c>
      <c r="E14" s="29" t="str">
        <f t="shared" si="1"/>
        <v/>
      </c>
      <c r="F14" s="29">
        <f t="shared" si="1"/>
        <v>2</v>
      </c>
      <c r="G14" s="29" t="str">
        <f t="shared" si="1"/>
        <v/>
      </c>
      <c r="H14" s="29">
        <f t="shared" si="1"/>
        <v>6</v>
      </c>
      <c r="I14" s="29">
        <f t="shared" si="1"/>
        <v>3</v>
      </c>
      <c r="J14" s="29">
        <f t="shared" si="1"/>
        <v>2.2999999999999998</v>
      </c>
      <c r="K14" s="29" t="str">
        <f t="shared" si="1"/>
        <v/>
      </c>
      <c r="L14" s="29">
        <f t="shared" si="1"/>
        <v>1.5</v>
      </c>
      <c r="M14" s="29" t="str">
        <f t="shared" si="1"/>
        <v/>
      </c>
      <c r="N14" s="29" t="str">
        <f t="shared" si="1"/>
        <v/>
      </c>
      <c r="O14" s="29" t="str">
        <f t="shared" si="1"/>
        <v/>
      </c>
      <c r="P14" s="29" t="str">
        <f t="shared" si="1"/>
        <v/>
      </c>
      <c r="Q14" s="29" t="str">
        <f t="shared" si="1"/>
        <v/>
      </c>
      <c r="R14" s="29" t="str">
        <f t="shared" si="1"/>
        <v/>
      </c>
      <c r="S14" s="29" t="str">
        <f t="shared" si="1"/>
        <v/>
      </c>
      <c r="T14" s="29" t="str">
        <f t="shared" si="1"/>
        <v/>
      </c>
      <c r="U14" s="29" t="str">
        <f t="shared" si="1"/>
        <v/>
      </c>
      <c r="V14" s="29" t="str">
        <f t="shared" si="1"/>
        <v/>
      </c>
      <c r="W14" s="29" t="str">
        <f t="shared" si="1"/>
        <v/>
      </c>
      <c r="X14" s="29" t="str">
        <f t="shared" si="1"/>
        <v/>
      </c>
      <c r="Y14" s="29" t="str">
        <f t="shared" si="1"/>
        <v/>
      </c>
      <c r="Z14" s="29" t="str">
        <f t="shared" si="1"/>
        <v/>
      </c>
      <c r="AA14" s="26">
        <f>MAX(AA11:AA13)</f>
        <v>2.12</v>
      </c>
      <c r="AB14" s="26">
        <f>MAX(AB11:AB13)</f>
        <v>6</v>
      </c>
      <c r="AC14" s="26">
        <f>MAX(AC11:AC13)</f>
        <v>3</v>
      </c>
    </row>
    <row r="16" spans="2:45" hidden="1" outlineLevel="1" x14ac:dyDescent="0.2">
      <c r="B16" s="51" t="str">
        <f>"Indicative yield : " &amp;G32</f>
        <v>Indicative yield : CB19207A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3"/>
    </row>
    <row r="17" spans="1:32" hidden="1" outlineLevel="1" x14ac:dyDescent="0.2">
      <c r="B17" s="27" t="s">
        <v>0</v>
      </c>
      <c r="C17" s="28" t="str">
        <f t="array" ref="C17:Z17">TRANSPOSE($AB$30:$AB$53)</f>
        <v>BNP</v>
      </c>
      <c r="D17" s="28" t="str">
        <v>BBL</v>
      </c>
      <c r="E17" s="28" t="str">
        <v>KBANK</v>
      </c>
      <c r="F17" s="28" t="str">
        <v>TMB</v>
      </c>
      <c r="G17" s="28" t="str">
        <v>KTB</v>
      </c>
      <c r="H17" s="28" t="str">
        <v>CIMBT</v>
      </c>
      <c r="I17" s="28" t="str">
        <v>BAY</v>
      </c>
      <c r="J17" s="28" t="str">
        <v>SCB</v>
      </c>
      <c r="K17" s="28" t="str">
        <v>TBANK</v>
      </c>
      <c r="L17" s="28" t="str">
        <v>TISCOBANK</v>
      </c>
      <c r="M17" s="28" t="str">
        <v>SCBT</v>
      </c>
      <c r="N17" s="28" t="str">
        <v>HSBC</v>
      </c>
      <c r="O17" s="28" t="str">
        <v>CITIBANK</v>
      </c>
      <c r="P17" s="28" t="str">
        <v>KKP</v>
      </c>
      <c r="Q17" s="28" t="str">
        <v>UOBT</v>
      </c>
      <c r="R17" s="28" t="str">
        <v>GSB</v>
      </c>
      <c r="S17" s="28" t="str">
        <v>KGI</v>
      </c>
      <c r="T17" s="28" t="str">
        <v>BAML</v>
      </c>
      <c r="U17" s="28" t="str">
        <v>JP_MORGAN</v>
      </c>
      <c r="V17" s="28" t="str">
        <v>ANZT</v>
      </c>
      <c r="W17" s="28" t="str">
        <v>DEUTSCHE_BANK</v>
      </c>
      <c r="X17" s="28" t="str">
        <v>CNS</v>
      </c>
      <c r="Y17" s="28" t="str">
        <v>PHATRA</v>
      </c>
      <c r="Z17" s="28" t="str">
        <v>MBKET</v>
      </c>
      <c r="AA17" s="12" t="s">
        <v>6</v>
      </c>
      <c r="AB17" s="12" t="s">
        <v>7</v>
      </c>
      <c r="AC17" s="12" t="s">
        <v>8</v>
      </c>
      <c r="AD17" s="37" t="str">
        <f>G32</f>
        <v>CB19207A</v>
      </c>
    </row>
    <row r="18" spans="1:32" hidden="1" outlineLevel="1" x14ac:dyDescent="0.2">
      <c r="B18" s="27" t="s"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>
        <f>MIN(C18:Z18)</f>
        <v>0</v>
      </c>
      <c r="AB18" s="25">
        <f>MAX(C18:Z18)</f>
        <v>0</v>
      </c>
      <c r="AC18" s="25">
        <f>IFERROR(AVERAGE(C18:Z18),0)</f>
        <v>0</v>
      </c>
    </row>
    <row r="19" spans="1:32" hidden="1" outlineLevel="1" x14ac:dyDescent="0.2">
      <c r="B19" s="27" t="s">
        <v>2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>
        <f>MIN(C19:Z19)</f>
        <v>0</v>
      </c>
      <c r="AB19" s="25">
        <f>MAX(C19:Z19)</f>
        <v>0</v>
      </c>
      <c r="AC19" s="25">
        <f>IFERROR(AVERAGE(C19:Z19),0)</f>
        <v>0</v>
      </c>
    </row>
    <row r="20" spans="1:32" hidden="1" outlineLevel="1" x14ac:dyDescent="0.2">
      <c r="B20" s="27" t="s">
        <v>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25">
        <f>MIN(C20:Z20)</f>
        <v>0</v>
      </c>
      <c r="AB20" s="25">
        <f>MAX(C20:Z20)</f>
        <v>0</v>
      </c>
      <c r="AC20" s="25">
        <f>IFERROR(AVERAGE(C20:Z20),0)</f>
        <v>0</v>
      </c>
    </row>
    <row r="21" spans="1:32" hidden="1" outlineLevel="1" x14ac:dyDescent="0.2">
      <c r="B21" s="27" t="s">
        <v>8</v>
      </c>
      <c r="C21" s="29" t="str">
        <f t="shared" ref="C21:Z21" si="2">IFERROR(AVERAGE(C18:C20),"")</f>
        <v/>
      </c>
      <c r="D21" s="29" t="str">
        <f t="shared" si="2"/>
        <v/>
      </c>
      <c r="E21" s="29" t="str">
        <f t="shared" si="2"/>
        <v/>
      </c>
      <c r="F21" s="29" t="str">
        <f t="shared" si="2"/>
        <v/>
      </c>
      <c r="G21" s="29" t="str">
        <f t="shared" si="2"/>
        <v/>
      </c>
      <c r="H21" s="29" t="str">
        <f t="shared" si="2"/>
        <v/>
      </c>
      <c r="I21" s="29" t="str">
        <f t="shared" si="2"/>
        <v/>
      </c>
      <c r="J21" s="29" t="str">
        <f t="shared" si="2"/>
        <v/>
      </c>
      <c r="K21" s="29" t="str">
        <f t="shared" si="2"/>
        <v/>
      </c>
      <c r="L21" s="29" t="str">
        <f t="shared" si="2"/>
        <v/>
      </c>
      <c r="M21" s="29" t="str">
        <f t="shared" si="2"/>
        <v/>
      </c>
      <c r="N21" s="29" t="str">
        <f t="shared" si="2"/>
        <v/>
      </c>
      <c r="O21" s="29" t="str">
        <f t="shared" si="2"/>
        <v/>
      </c>
      <c r="P21" s="29" t="str">
        <f t="shared" si="2"/>
        <v/>
      </c>
      <c r="Q21" s="29" t="str">
        <f t="shared" si="2"/>
        <v/>
      </c>
      <c r="R21" s="29" t="str">
        <f t="shared" si="2"/>
        <v/>
      </c>
      <c r="S21" s="29" t="str">
        <f t="shared" si="2"/>
        <v/>
      </c>
      <c r="T21" s="29" t="str">
        <f t="shared" si="2"/>
        <v/>
      </c>
      <c r="U21" s="29" t="str">
        <f t="shared" si="2"/>
        <v/>
      </c>
      <c r="V21" s="29" t="str">
        <f t="shared" si="2"/>
        <v/>
      </c>
      <c r="W21" s="29" t="str">
        <f t="shared" si="2"/>
        <v/>
      </c>
      <c r="X21" s="29" t="str">
        <f t="shared" si="2"/>
        <v/>
      </c>
      <c r="Y21" s="29" t="str">
        <f t="shared" si="2"/>
        <v/>
      </c>
      <c r="Z21" s="29" t="str">
        <f t="shared" si="2"/>
        <v/>
      </c>
      <c r="AA21" s="26">
        <f>MAX(AA18:AA20)</f>
        <v>0</v>
      </c>
      <c r="AB21" s="26">
        <f>MAX(AB18:AB20)</f>
        <v>0</v>
      </c>
      <c r="AC21" s="26">
        <f>MAX(AC18:AC20)</f>
        <v>0</v>
      </c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32" t="str">
        <f>"Auction Simulation : "</f>
        <v xml:space="preserve">Auction Simulation : </v>
      </c>
      <c r="D28" s="17" t="str">
        <f>G32</f>
        <v>CB19207A</v>
      </c>
      <c r="G28" s="4" t="s">
        <v>22</v>
      </c>
      <c r="O28" s="38" t="str">
        <f>"Auction Excute : " &amp; G30</f>
        <v>Auction Excute : TB19327A</v>
      </c>
      <c r="S28" s="4" t="s">
        <v>19</v>
      </c>
      <c r="W28" s="4" t="s">
        <v>54</v>
      </c>
    </row>
    <row r="29" spans="1:32" x14ac:dyDescent="0.2">
      <c r="A29" s="60">
        <f>MATCH($D$28,$AD$1:$AD$21,0)</f>
        <v>17</v>
      </c>
      <c r="B29" s="27" t="s">
        <v>17</v>
      </c>
      <c r="C29" s="27" t="s">
        <v>0</v>
      </c>
      <c r="D29" s="27" t="s">
        <v>4</v>
      </c>
      <c r="E29" s="27" t="s">
        <v>25</v>
      </c>
      <c r="G29" s="27" t="s">
        <v>26</v>
      </c>
      <c r="H29" s="27" t="s">
        <v>18</v>
      </c>
      <c r="I29" s="27" t="s">
        <v>23</v>
      </c>
      <c r="J29" s="27" t="s">
        <v>24</v>
      </c>
      <c r="K29" s="27" t="s">
        <v>52</v>
      </c>
      <c r="L29" s="27" t="s">
        <v>53</v>
      </c>
      <c r="M29" s="27" t="s">
        <v>63</v>
      </c>
      <c r="O29" s="33" t="s">
        <v>0</v>
      </c>
      <c r="P29" s="33" t="s">
        <v>4</v>
      </c>
      <c r="Q29" s="33" t="s">
        <v>25</v>
      </c>
      <c r="S29" s="33" t="s">
        <v>0</v>
      </c>
      <c r="T29" s="33" t="s">
        <v>4</v>
      </c>
      <c r="U29" s="33" t="s">
        <v>25</v>
      </c>
      <c r="W29" s="33" t="s">
        <v>5</v>
      </c>
      <c r="X29" s="33" t="s">
        <v>17</v>
      </c>
      <c r="Y29" s="33" t="s">
        <v>23</v>
      </c>
      <c r="Z29" s="33" t="s">
        <v>24</v>
      </c>
      <c r="AA29" s="33" t="s">
        <v>28</v>
      </c>
      <c r="AB29" s="33" t="s">
        <v>0</v>
      </c>
      <c r="AC29" s="33" t="s">
        <v>20</v>
      </c>
      <c r="AD29" s="33" t="s">
        <v>65</v>
      </c>
      <c r="AE29" s="33" t="s">
        <v>51</v>
      </c>
      <c r="AF29" s="33" t="s">
        <v>33</v>
      </c>
    </row>
    <row r="30" spans="1:32" x14ac:dyDescent="0.2">
      <c r="A30">
        <f t="shared" ref="A30:A53" si="3">MATCH(C30,$A$3:$Z$3,0)</f>
        <v>3</v>
      </c>
      <c r="B30" s="3">
        <f t="shared" ref="B30:B53" si="4">INDEX($X$30:$X$53,MATCH(C30,$AB$30:$AB$53,0))</f>
        <v>1</v>
      </c>
      <c r="C30" s="1" t="str">
        <f t="shared" ref="C30:C53" si="5">AB30</f>
        <v>BNP</v>
      </c>
      <c r="D30" s="34">
        <f t="shared" ref="D30:D53" si="6">IFERROR(IF(MATCH(C30,$A$57:$A$60,0)=1,$I$30*0.35,IF(MATCH(C30,$A$57:$A$60,0)=2,$I$30*0.3,IF(MATCH(C30,$A$57:$A$60,0)=3,$I$30*0.25,IF(MATCH(C30,$A$57:$A$60,0)=4,$I$30*0.1)))),0)</f>
        <v>3360</v>
      </c>
      <c r="E30" s="29" t="str">
        <f ca="1">INDIRECT(ADDRESS($A$29+4,A30))</f>
        <v/>
      </c>
      <c r="G30" s="10" t="s">
        <v>62</v>
      </c>
      <c r="H30" s="58">
        <f>SUM(I30:L30)</f>
        <v>10200</v>
      </c>
      <c r="I30" s="10">
        <v>9600</v>
      </c>
      <c r="J30" s="10">
        <v>600</v>
      </c>
      <c r="K30" s="10"/>
      <c r="L30" s="10"/>
      <c r="M30" s="10"/>
      <c r="O30" s="30" t="s">
        <v>9</v>
      </c>
      <c r="P30" s="30">
        <v>5000</v>
      </c>
      <c r="Q30" s="14"/>
      <c r="S30" s="2" t="str">
        <f>IF(ISBLANK(O30),"",O30)</f>
        <v>SCB</v>
      </c>
      <c r="T30" s="30">
        <v>5000</v>
      </c>
      <c r="U30" s="14"/>
      <c r="W30" s="44">
        <v>1</v>
      </c>
      <c r="X30" s="6">
        <v>1</v>
      </c>
      <c r="Y30" s="6">
        <v>1</v>
      </c>
      <c r="Z30" s="6">
        <v>1</v>
      </c>
      <c r="AA30" s="6">
        <f ca="1">IF(SUM(OFFSET(INDIRECT(ADDRESS($A$29,$A30)),1,0,3)) &gt; 0,1,0)</f>
        <v>0</v>
      </c>
      <c r="AB30" s="23" t="s">
        <v>13</v>
      </c>
      <c r="AC30" s="3">
        <f t="shared" ref="AC30:AC53" si="7">SUMIF($S$30:$S$64,AB30,$T$30:$T$64)</f>
        <v>0</v>
      </c>
      <c r="AD30" s="3">
        <f ca="1">INDIRECT("'"&amp;$A$55&amp;"'!"&amp;ADDRESS(ROW(),COLUMN()))+AC30</f>
        <v>0</v>
      </c>
      <c r="AE30" s="31">
        <f t="shared" ref="AE30:AE53" ca="1" si="8">AD30/$AD$54</f>
        <v>0</v>
      </c>
      <c r="AF30" s="19"/>
    </row>
    <row r="31" spans="1:32" x14ac:dyDescent="0.2">
      <c r="A31">
        <f t="shared" si="3"/>
        <v>4</v>
      </c>
      <c r="B31" s="3">
        <f t="shared" si="4"/>
        <v>2</v>
      </c>
      <c r="C31" s="1" t="str">
        <f t="shared" si="5"/>
        <v>BBL</v>
      </c>
      <c r="D31" s="34">
        <f t="shared" si="6"/>
        <v>2880</v>
      </c>
      <c r="E31" s="29" t="str">
        <f ca="1">INDIRECT(ADDRESS($A$29+4,A31))</f>
        <v/>
      </c>
      <c r="G31" s="10" t="s">
        <v>50</v>
      </c>
      <c r="H31" s="58">
        <f t="shared" ref="H31:H32" si="9">SUM(I31:L31)</f>
        <v>6200</v>
      </c>
      <c r="I31" s="10">
        <v>5200</v>
      </c>
      <c r="J31" s="10"/>
      <c r="K31" s="10">
        <v>1000</v>
      </c>
      <c r="L31" s="10"/>
      <c r="M31" s="10"/>
      <c r="O31" s="30" t="s">
        <v>11</v>
      </c>
      <c r="P31" s="30">
        <v>2200</v>
      </c>
      <c r="Q31" s="30"/>
      <c r="S31" s="2" t="str">
        <f t="shared" ref="S31:S38" si="10">IF(ISBLANK(O31),"",O31)</f>
        <v>BBL</v>
      </c>
      <c r="T31" s="30">
        <v>1200</v>
      </c>
      <c r="U31" s="30"/>
      <c r="W31" s="44">
        <v>1</v>
      </c>
      <c r="X31" s="6">
        <v>2</v>
      </c>
      <c r="Y31" s="6">
        <v>1</v>
      </c>
      <c r="Z31" s="6">
        <v>0</v>
      </c>
      <c r="AA31" s="6">
        <f ca="1">IF(SUM(OFFSET(INDIRECT(ADDRESS($A$29,$A31)),1,0,3)) &gt; 0,1,0)</f>
        <v>0</v>
      </c>
      <c r="AB31" s="23" t="s">
        <v>11</v>
      </c>
      <c r="AC31" s="3">
        <f t="shared" si="7"/>
        <v>1200</v>
      </c>
      <c r="AD31" s="3">
        <f t="shared" ref="AD31:AD53" ca="1" si="11">INDIRECT("'"&amp;$A$55&amp;"'!"&amp;ADDRESS(ROW(),COLUMN()))+AC31</f>
        <v>2400</v>
      </c>
      <c r="AE31" s="31">
        <f t="shared" ca="1" si="8"/>
        <v>0.13043478260869565</v>
      </c>
      <c r="AF31" s="20"/>
    </row>
    <row r="32" spans="1:32" x14ac:dyDescent="0.2">
      <c r="A32">
        <f t="shared" si="3"/>
        <v>5</v>
      </c>
      <c r="B32" s="3">
        <f t="shared" si="4"/>
        <v>3</v>
      </c>
      <c r="C32" s="1" t="str">
        <f t="shared" si="5"/>
        <v>KBANK</v>
      </c>
      <c r="D32" s="34">
        <f t="shared" si="6"/>
        <v>0</v>
      </c>
      <c r="E32" s="29" t="str">
        <f ca="1">INDIRECT(ADDRESS($A$29+4,A32))</f>
        <v/>
      </c>
      <c r="G32" s="10" t="s">
        <v>27</v>
      </c>
      <c r="H32" s="58">
        <f t="shared" si="9"/>
        <v>0</v>
      </c>
      <c r="I32" s="10"/>
      <c r="J32" s="10"/>
      <c r="K32" s="10"/>
      <c r="L32" s="10"/>
      <c r="M32" s="10"/>
      <c r="O32" s="30" t="s">
        <v>12</v>
      </c>
      <c r="P32" s="30">
        <v>2800</v>
      </c>
      <c r="Q32" s="30"/>
      <c r="S32" s="2" t="str">
        <f t="shared" si="10"/>
        <v>KBANK</v>
      </c>
      <c r="T32" s="30">
        <v>3000</v>
      </c>
      <c r="U32" s="30"/>
      <c r="W32" s="44">
        <v>1</v>
      </c>
      <c r="X32" s="6">
        <v>3</v>
      </c>
      <c r="Y32" s="6">
        <v>1</v>
      </c>
      <c r="Z32" s="6">
        <v>1</v>
      </c>
      <c r="AA32" s="6">
        <f ca="1">IF(SUM(OFFSET(INDIRECT(ADDRESS($A$29,$A32)),1,0,3)) &gt; 0,1,0)</f>
        <v>0</v>
      </c>
      <c r="AB32" s="23" t="s">
        <v>12</v>
      </c>
      <c r="AC32" s="3">
        <f t="shared" si="7"/>
        <v>3000</v>
      </c>
      <c r="AD32" s="3">
        <f t="shared" ca="1" si="11"/>
        <v>6000</v>
      </c>
      <c r="AE32" s="21">
        <f t="shared" ca="1" si="8"/>
        <v>0.32608695652173914</v>
      </c>
      <c r="AF32" s="21">
        <f ca="1">SUMIF($W$30:$W$53,$W$32,$AD$30:$AD$53)/$AD$54</f>
        <v>0.45652173913043476</v>
      </c>
    </row>
    <row r="33" spans="1:32" x14ac:dyDescent="0.2">
      <c r="A33">
        <f t="shared" si="3"/>
        <v>6</v>
      </c>
      <c r="B33" s="3">
        <f t="shared" si="4"/>
        <v>4</v>
      </c>
      <c r="C33" s="1" t="str">
        <f t="shared" si="5"/>
        <v>TMB</v>
      </c>
      <c r="D33" s="34">
        <f t="shared" si="6"/>
        <v>2400</v>
      </c>
      <c r="E33" s="29" t="str">
        <f ca="1">INDIRECT(ADDRESS($A$29+4,A33))</f>
        <v/>
      </c>
      <c r="G33" s="46"/>
      <c r="O33" s="30"/>
      <c r="P33" s="30"/>
      <c r="Q33" s="30"/>
      <c r="S33" s="2" t="str">
        <f t="shared" si="10"/>
        <v/>
      </c>
      <c r="T33" s="30"/>
      <c r="U33" s="30"/>
      <c r="W33" s="3">
        <v>2</v>
      </c>
      <c r="X33" s="6">
        <v>4</v>
      </c>
      <c r="Y33" s="6">
        <v>1</v>
      </c>
      <c r="Z33" s="6">
        <v>1</v>
      </c>
      <c r="AA33" s="6">
        <f ca="1">IF(SUM(OFFSET(INDIRECT(ADDRESS($A$29,$A33)),1,0,3)) &gt; 0,1,0)</f>
        <v>0</v>
      </c>
      <c r="AB33" s="23" t="s">
        <v>10</v>
      </c>
      <c r="AC33" s="3">
        <f t="shared" si="7"/>
        <v>0</v>
      </c>
      <c r="AD33" s="3">
        <f t="shared" ca="1" si="11"/>
        <v>0</v>
      </c>
      <c r="AE33" s="31">
        <f t="shared" ca="1" si="8"/>
        <v>0</v>
      </c>
      <c r="AF33" s="20"/>
    </row>
    <row r="34" spans="1:32" x14ac:dyDescent="0.2">
      <c r="A34">
        <f t="shared" si="3"/>
        <v>7</v>
      </c>
      <c r="B34" s="3">
        <f t="shared" si="4"/>
        <v>5</v>
      </c>
      <c r="C34" s="1" t="str">
        <f t="shared" si="5"/>
        <v>KTB</v>
      </c>
      <c r="D34" s="34">
        <f t="shared" si="6"/>
        <v>0</v>
      </c>
      <c r="E34" s="29" t="str">
        <f ca="1">INDIRECT(ADDRESS($A$29+4,A34))</f>
        <v/>
      </c>
      <c r="G34" s="47"/>
      <c r="O34" s="30"/>
      <c r="P34" s="30"/>
      <c r="Q34" s="30"/>
      <c r="S34" s="2" t="str">
        <f t="shared" si="10"/>
        <v/>
      </c>
      <c r="T34" s="30"/>
      <c r="U34" s="30"/>
      <c r="W34" s="3">
        <v>2</v>
      </c>
      <c r="X34" s="6">
        <v>5</v>
      </c>
      <c r="Y34" s="6">
        <v>1</v>
      </c>
      <c r="Z34" s="6">
        <v>0</v>
      </c>
      <c r="AA34" s="6">
        <f ca="1">IF(SUM(OFFSET(INDIRECT(ADDRESS($A$29,$A34)),1,0,3)) &gt; 0,1,0)</f>
        <v>0</v>
      </c>
      <c r="AB34" s="23" t="s">
        <v>14</v>
      </c>
      <c r="AC34" s="3">
        <f t="shared" si="7"/>
        <v>0</v>
      </c>
      <c r="AD34" s="3">
        <f t="shared" ca="1" si="11"/>
        <v>0</v>
      </c>
      <c r="AE34" s="31">
        <f t="shared" ca="1" si="8"/>
        <v>0</v>
      </c>
      <c r="AF34" s="20"/>
    </row>
    <row r="35" spans="1:32" x14ac:dyDescent="0.2">
      <c r="A35">
        <f t="shared" si="3"/>
        <v>8</v>
      </c>
      <c r="B35" s="3">
        <f t="shared" si="4"/>
        <v>6</v>
      </c>
      <c r="C35" s="1" t="str">
        <f t="shared" si="5"/>
        <v>CIMBT</v>
      </c>
      <c r="D35" s="34">
        <f t="shared" si="6"/>
        <v>960</v>
      </c>
      <c r="E35" s="29" t="str">
        <f ca="1">INDIRECT(ADDRESS($A$29+4,A35))</f>
        <v/>
      </c>
      <c r="G35" s="4" t="s">
        <v>64</v>
      </c>
      <c r="O35" s="30"/>
      <c r="P35" s="30"/>
      <c r="Q35" s="30"/>
      <c r="S35" s="2" t="str">
        <f t="shared" si="10"/>
        <v/>
      </c>
      <c r="T35" s="30"/>
      <c r="U35" s="30"/>
      <c r="W35" s="3">
        <v>2</v>
      </c>
      <c r="X35" s="6">
        <v>6</v>
      </c>
      <c r="Y35" s="6">
        <v>1</v>
      </c>
      <c r="Z35" s="6">
        <v>0</v>
      </c>
      <c r="AA35" s="6">
        <f ca="1">IF(SUM(OFFSET(INDIRECT(ADDRESS($A$29,$A35)),1,0,3)) &gt; 0,1,0)</f>
        <v>0</v>
      </c>
      <c r="AB35" s="23" t="s">
        <v>34</v>
      </c>
      <c r="AC35" s="3">
        <f t="shared" si="7"/>
        <v>0</v>
      </c>
      <c r="AD35" s="3">
        <f t="shared" ca="1" si="11"/>
        <v>0</v>
      </c>
      <c r="AE35" s="31">
        <f t="shared" ca="1" si="8"/>
        <v>0</v>
      </c>
      <c r="AF35" s="20"/>
    </row>
    <row r="36" spans="1:32" x14ac:dyDescent="0.2">
      <c r="A36">
        <f t="shared" si="3"/>
        <v>9</v>
      </c>
      <c r="B36" s="3">
        <f t="shared" si="4"/>
        <v>7</v>
      </c>
      <c r="C36" s="1" t="str">
        <f t="shared" si="5"/>
        <v>BAY</v>
      </c>
      <c r="D36" s="34">
        <f t="shared" si="6"/>
        <v>0</v>
      </c>
      <c r="E36" s="29" t="str">
        <f ca="1">INDIRECT(ADDRESS($A$29+4,A36))</f>
        <v/>
      </c>
      <c r="G36" s="27" t="s">
        <v>26</v>
      </c>
      <c r="H36" s="27" t="s">
        <v>66</v>
      </c>
      <c r="I36" s="27" t="s">
        <v>55</v>
      </c>
      <c r="J36" s="27" t="s">
        <v>56</v>
      </c>
      <c r="K36" s="27" t="s">
        <v>57</v>
      </c>
      <c r="L36" s="27" t="s">
        <v>67</v>
      </c>
      <c r="M36" s="27" t="s">
        <v>58</v>
      </c>
      <c r="O36" s="30"/>
      <c r="P36" s="30"/>
      <c r="Q36" s="30"/>
      <c r="S36" s="2" t="str">
        <f t="shared" si="10"/>
        <v/>
      </c>
      <c r="T36" s="30"/>
      <c r="U36" s="30"/>
      <c r="W36" s="3">
        <v>2</v>
      </c>
      <c r="X36" s="6">
        <v>7</v>
      </c>
      <c r="Y36" s="6">
        <v>1</v>
      </c>
      <c r="Z36" s="6">
        <v>0</v>
      </c>
      <c r="AA36" s="6">
        <f ca="1">IF(SUM(OFFSET(INDIRECT(ADDRESS($A$29,$A36)),1,0,3)) &gt; 0,1,0)</f>
        <v>0</v>
      </c>
      <c r="AB36" s="23" t="s">
        <v>35</v>
      </c>
      <c r="AC36" s="3">
        <f t="shared" si="7"/>
        <v>0</v>
      </c>
      <c r="AD36" s="3">
        <f t="shared" ca="1" si="11"/>
        <v>0</v>
      </c>
      <c r="AE36" s="31">
        <f t="shared" ca="1" si="8"/>
        <v>0</v>
      </c>
      <c r="AF36" s="20"/>
    </row>
    <row r="37" spans="1:32" ht="16.5" customHeight="1" x14ac:dyDescent="0.2">
      <c r="A37">
        <f t="shared" si="3"/>
        <v>10</v>
      </c>
      <c r="B37" s="3">
        <f t="shared" si="4"/>
        <v>8</v>
      </c>
      <c r="C37" s="1" t="str">
        <f t="shared" si="5"/>
        <v>SCB</v>
      </c>
      <c r="D37" s="34">
        <f t="shared" si="6"/>
        <v>0</v>
      </c>
      <c r="E37" s="29" t="str">
        <f ca="1">INDIRECT(ADDRESS($A$29+4,A37))</f>
        <v/>
      </c>
      <c r="G37" s="50" t="s">
        <v>27</v>
      </c>
      <c r="H37" s="48">
        <v>43369</v>
      </c>
      <c r="I37" s="29">
        <v>1.47</v>
      </c>
      <c r="J37" s="29">
        <v>1.47</v>
      </c>
      <c r="K37" s="29">
        <v>1.47</v>
      </c>
      <c r="L37" s="49">
        <v>0.36244199999999999</v>
      </c>
      <c r="M37" s="49">
        <v>0.26272899999999999</v>
      </c>
      <c r="O37" s="30"/>
      <c r="P37" s="30"/>
      <c r="Q37" s="30"/>
      <c r="S37" s="2" t="str">
        <f t="shared" si="10"/>
        <v/>
      </c>
      <c r="T37" s="30"/>
      <c r="U37" s="30"/>
      <c r="W37" s="3">
        <v>2</v>
      </c>
      <c r="X37" s="6">
        <v>8</v>
      </c>
      <c r="Y37" s="6">
        <v>1</v>
      </c>
      <c r="Z37" s="6">
        <v>0</v>
      </c>
      <c r="AA37" s="6">
        <f ca="1">IF(SUM(OFFSET(INDIRECT(ADDRESS($A$29,$A37)),1,0,3)) &gt; 0,1,0)</f>
        <v>0</v>
      </c>
      <c r="AB37" s="23" t="s">
        <v>9</v>
      </c>
      <c r="AC37" s="3">
        <f t="shared" si="7"/>
        <v>5000</v>
      </c>
      <c r="AD37" s="3">
        <f t="shared" ca="1" si="11"/>
        <v>10000</v>
      </c>
      <c r="AE37" s="21">
        <f t="shared" ca="1" si="8"/>
        <v>0.54347826086956519</v>
      </c>
      <c r="AF37" s="21">
        <f ca="1">SUMIF($W$30:$W$53,$W$37,$AD$30:$AD$53)/$AD$54</f>
        <v>0.54347826086956519</v>
      </c>
    </row>
    <row r="38" spans="1:32" x14ac:dyDescent="0.2">
      <c r="A38">
        <f t="shared" si="3"/>
        <v>11</v>
      </c>
      <c r="B38" s="3">
        <f t="shared" si="4"/>
        <v>9</v>
      </c>
      <c r="C38" s="1" t="str">
        <f t="shared" si="5"/>
        <v>TBANK</v>
      </c>
      <c r="D38" s="34">
        <f t="shared" si="6"/>
        <v>0</v>
      </c>
      <c r="E38" s="29" t="str">
        <f ca="1">INDIRECT(ADDRESS($A$29+4,A38))</f>
        <v/>
      </c>
      <c r="G38" s="50" t="s">
        <v>59</v>
      </c>
      <c r="H38" s="48">
        <v>43369</v>
      </c>
      <c r="I38" s="29">
        <v>1.4950000000000001</v>
      </c>
      <c r="J38" s="29">
        <v>1.4950000000000001</v>
      </c>
      <c r="K38" s="29">
        <v>1.4950000000000001</v>
      </c>
      <c r="L38" s="49">
        <v>0.38137500000000002</v>
      </c>
      <c r="M38" s="49">
        <v>0.29089300000000001</v>
      </c>
      <c r="O38" s="30"/>
      <c r="P38" s="30"/>
      <c r="Q38" s="30"/>
      <c r="S38" s="2" t="str">
        <f t="shared" si="10"/>
        <v/>
      </c>
      <c r="T38" s="30"/>
      <c r="U38" s="30"/>
      <c r="W38" s="3">
        <v>3</v>
      </c>
      <c r="X38" s="6">
        <v>9</v>
      </c>
      <c r="Y38" s="6">
        <v>1</v>
      </c>
      <c r="Z38" s="6">
        <v>0</v>
      </c>
      <c r="AA38" s="6">
        <f ca="1">IF(SUM(OFFSET(INDIRECT(ADDRESS($A$29,$A38)),1,0,3)) &gt; 0,1,0)</f>
        <v>0</v>
      </c>
      <c r="AB38" s="23" t="s">
        <v>36</v>
      </c>
      <c r="AC38" s="3">
        <f t="shared" si="7"/>
        <v>0</v>
      </c>
      <c r="AD38" s="3">
        <f t="shared" ca="1" si="11"/>
        <v>0</v>
      </c>
      <c r="AE38" s="31">
        <f t="shared" ca="1" si="8"/>
        <v>0</v>
      </c>
      <c r="AF38" s="20"/>
    </row>
    <row r="39" spans="1:32" ht="15" thickBot="1" x14ac:dyDescent="0.25">
      <c r="A39">
        <f t="shared" si="3"/>
        <v>12</v>
      </c>
      <c r="B39" s="3">
        <f t="shared" si="4"/>
        <v>10</v>
      </c>
      <c r="C39" s="1" t="str">
        <f t="shared" si="5"/>
        <v>TISCOBANK</v>
      </c>
      <c r="D39" s="34">
        <f t="shared" si="6"/>
        <v>0</v>
      </c>
      <c r="E39" s="29" t="str">
        <f ca="1">INDIRECT(ADDRESS($A$29+4,A39))</f>
        <v/>
      </c>
      <c r="G39" s="50" t="s">
        <v>60</v>
      </c>
      <c r="H39" s="48">
        <v>43369</v>
      </c>
      <c r="I39" s="29">
        <v>1.5</v>
      </c>
      <c r="J39" s="29">
        <v>1.5</v>
      </c>
      <c r="K39" s="29">
        <v>1.5</v>
      </c>
      <c r="L39" s="49">
        <v>0.40032099999999998</v>
      </c>
      <c r="M39" s="49">
        <v>0.32051400000000002</v>
      </c>
      <c r="N39" s="57" t="s">
        <v>68</v>
      </c>
      <c r="O39" s="58">
        <f>H30-P39</f>
        <v>200</v>
      </c>
      <c r="P39" s="35">
        <f>SUM(P30:P38)</f>
        <v>10000</v>
      </c>
      <c r="Q39" s="35">
        <f>IFERROR(AVERAGE(Q30:Q38),0)</f>
        <v>0</v>
      </c>
      <c r="R39" s="57" t="s">
        <v>69</v>
      </c>
      <c r="S39" s="58">
        <f>H30-T39</f>
        <v>1000</v>
      </c>
      <c r="T39" s="35">
        <f>SUM(T30:T38)</f>
        <v>9200</v>
      </c>
      <c r="U39" s="35">
        <f>SUM(U30:U38)</f>
        <v>0</v>
      </c>
      <c r="W39" s="3">
        <v>3</v>
      </c>
      <c r="X39" s="6">
        <v>10</v>
      </c>
      <c r="Y39" s="6">
        <v>1</v>
      </c>
      <c r="Z39" s="6">
        <v>0</v>
      </c>
      <c r="AA39" s="6">
        <f ca="1">IF(SUM(OFFSET(INDIRECT(ADDRESS($A$29,$A39)),1,0,3)) &gt; 0,1,0)</f>
        <v>0</v>
      </c>
      <c r="AB39" s="23" t="s">
        <v>37</v>
      </c>
      <c r="AC39" s="3">
        <f t="shared" si="7"/>
        <v>0</v>
      </c>
      <c r="AD39" s="3">
        <f t="shared" ca="1" si="11"/>
        <v>0</v>
      </c>
      <c r="AE39" s="31">
        <f t="shared" ca="1" si="8"/>
        <v>0</v>
      </c>
      <c r="AF39" s="20"/>
    </row>
    <row r="40" spans="1:32" ht="15" thickTop="1" x14ac:dyDescent="0.2">
      <c r="A40">
        <f t="shared" si="3"/>
        <v>13</v>
      </c>
      <c r="B40" s="3">
        <f t="shared" si="4"/>
        <v>11</v>
      </c>
      <c r="C40" s="1" t="str">
        <f t="shared" si="5"/>
        <v>SCBT</v>
      </c>
      <c r="D40" s="34">
        <f t="shared" si="6"/>
        <v>0</v>
      </c>
      <c r="E40" s="29" t="str">
        <f ca="1">INDIRECT(ADDRESS($A$29+4,A40))</f>
        <v/>
      </c>
      <c r="G40" s="50" t="s">
        <v>61</v>
      </c>
      <c r="H40" s="48">
        <v>43369</v>
      </c>
      <c r="I40" s="29">
        <v>1.52</v>
      </c>
      <c r="J40" s="29">
        <v>1.52</v>
      </c>
      <c r="K40" s="29">
        <v>1.52</v>
      </c>
      <c r="L40" s="49">
        <v>0.41922900000000002</v>
      </c>
      <c r="M40" s="49">
        <v>0.35150599999999999</v>
      </c>
      <c r="W40" s="3">
        <v>3</v>
      </c>
      <c r="X40" s="6">
        <v>11</v>
      </c>
      <c r="Y40" s="6">
        <v>1</v>
      </c>
      <c r="Z40" s="6">
        <v>0</v>
      </c>
      <c r="AA40" s="6">
        <f ca="1">IF(SUM(OFFSET(INDIRECT(ADDRESS($A$29,$A40)),1,0,3)) &gt; 0,1,0)</f>
        <v>0</v>
      </c>
      <c r="AB40" s="23" t="s">
        <v>38</v>
      </c>
      <c r="AC40" s="3">
        <f t="shared" si="7"/>
        <v>0</v>
      </c>
      <c r="AD40" s="3">
        <f t="shared" ca="1" si="11"/>
        <v>0</v>
      </c>
      <c r="AE40" s="31">
        <f t="shared" ca="1" si="8"/>
        <v>0</v>
      </c>
      <c r="AF40" s="20"/>
    </row>
    <row r="41" spans="1:32" x14ac:dyDescent="0.2">
      <c r="A41">
        <f t="shared" si="3"/>
        <v>14</v>
      </c>
      <c r="B41" s="3">
        <f t="shared" si="4"/>
        <v>12</v>
      </c>
      <c r="C41" s="1" t="str">
        <f t="shared" si="5"/>
        <v>HSBC</v>
      </c>
      <c r="D41" s="34">
        <f t="shared" si="6"/>
        <v>0</v>
      </c>
      <c r="E41" s="29" t="str">
        <f ca="1">INDIRECT(ADDRESS($A$29+4,A41))</f>
        <v/>
      </c>
      <c r="G41" s="50"/>
      <c r="H41" s="48"/>
      <c r="I41" s="29"/>
      <c r="J41" s="29"/>
      <c r="K41" s="29"/>
      <c r="L41" s="49"/>
      <c r="M41" s="49"/>
      <c r="O41" s="39" t="str">
        <f>"Auction Excute : " &amp;G31</f>
        <v>Auction Excute : CB19209A</v>
      </c>
      <c r="S41" s="4" t="s">
        <v>19</v>
      </c>
      <c r="W41" s="3">
        <v>3</v>
      </c>
      <c r="X41" s="6">
        <v>12</v>
      </c>
      <c r="Y41" s="6">
        <v>1</v>
      </c>
      <c r="Z41" s="6">
        <v>0</v>
      </c>
      <c r="AA41" s="6">
        <f ca="1">IF(SUM(OFFSET(INDIRECT(ADDRESS($A$29,$A41)),1,0,3)) &gt; 0,1,0)</f>
        <v>0</v>
      </c>
      <c r="AB41" s="23" t="s">
        <v>16</v>
      </c>
      <c r="AC41" s="3">
        <f t="shared" si="7"/>
        <v>0</v>
      </c>
      <c r="AD41" s="3">
        <f t="shared" ca="1" si="11"/>
        <v>0</v>
      </c>
      <c r="AE41" s="31">
        <f t="shared" ca="1" si="8"/>
        <v>0</v>
      </c>
      <c r="AF41" s="20"/>
    </row>
    <row r="42" spans="1:32" x14ac:dyDescent="0.2">
      <c r="A42">
        <f t="shared" si="3"/>
        <v>15</v>
      </c>
      <c r="B42" s="3">
        <f t="shared" si="4"/>
        <v>13</v>
      </c>
      <c r="C42" s="1" t="str">
        <f t="shared" si="5"/>
        <v>CITIBANK</v>
      </c>
      <c r="D42" s="34">
        <f t="shared" si="6"/>
        <v>0</v>
      </c>
      <c r="E42" s="29" t="str">
        <f ca="1">INDIRECT(ADDRESS($A$29+4,A42))</f>
        <v/>
      </c>
      <c r="G42" s="50"/>
      <c r="H42" s="48"/>
      <c r="I42" s="29"/>
      <c r="J42" s="29"/>
      <c r="K42" s="29"/>
      <c r="L42" s="49"/>
      <c r="M42" s="49"/>
      <c r="O42" s="33" t="s">
        <v>0</v>
      </c>
      <c r="P42" s="33" t="s">
        <v>4</v>
      </c>
      <c r="Q42" s="33" t="s">
        <v>25</v>
      </c>
      <c r="S42" s="33" t="s">
        <v>0</v>
      </c>
      <c r="T42" s="33" t="s">
        <v>4</v>
      </c>
      <c r="U42" s="33" t="s">
        <v>25</v>
      </c>
      <c r="W42" s="3">
        <v>3</v>
      </c>
      <c r="X42" s="6">
        <v>13</v>
      </c>
      <c r="Y42" s="6">
        <v>1</v>
      </c>
      <c r="Z42" s="6">
        <v>0</v>
      </c>
      <c r="AA42" s="6">
        <f ca="1">IF(SUM(OFFSET(INDIRECT(ADDRESS($A$29,$A42)),1,0,3)) &gt; 0,1,0)</f>
        <v>0</v>
      </c>
      <c r="AB42" s="23" t="s">
        <v>39</v>
      </c>
      <c r="AC42" s="3">
        <f t="shared" si="7"/>
        <v>0</v>
      </c>
      <c r="AD42" s="3">
        <f t="shared" ca="1" si="11"/>
        <v>0</v>
      </c>
      <c r="AE42" s="31">
        <f t="shared" ca="1" si="8"/>
        <v>0</v>
      </c>
      <c r="AF42" s="20"/>
    </row>
    <row r="43" spans="1:32" x14ac:dyDescent="0.2">
      <c r="A43">
        <f t="shared" si="3"/>
        <v>16</v>
      </c>
      <c r="B43" s="3">
        <f t="shared" si="4"/>
        <v>14</v>
      </c>
      <c r="C43" s="1" t="str">
        <f t="shared" si="5"/>
        <v>KKP</v>
      </c>
      <c r="D43" s="34">
        <f t="shared" si="6"/>
        <v>0</v>
      </c>
      <c r="E43" s="29" t="str">
        <f ca="1">INDIRECT(ADDRESS($A$29+4,A43))</f>
        <v/>
      </c>
      <c r="G43" s="50"/>
      <c r="H43" s="48"/>
      <c r="I43" s="29"/>
      <c r="J43" s="29"/>
      <c r="K43" s="29"/>
      <c r="L43" s="49"/>
      <c r="M43" s="49"/>
      <c r="O43" s="30" t="s">
        <v>11</v>
      </c>
      <c r="P43" s="30">
        <v>3000</v>
      </c>
      <c r="Q43" s="14"/>
      <c r="S43" s="2" t="str">
        <f>IF(ISBLANK(O43),"",O43)</f>
        <v>BBL</v>
      </c>
      <c r="T43" s="30"/>
      <c r="U43" s="14"/>
      <c r="W43" s="3">
        <v>3</v>
      </c>
      <c r="X43" s="6">
        <v>14</v>
      </c>
      <c r="Y43" s="6">
        <v>1</v>
      </c>
      <c r="Z43" s="6">
        <v>0</v>
      </c>
      <c r="AA43" s="6">
        <f ca="1">IF(SUM(OFFSET(INDIRECT(ADDRESS($A$29,$A43)),1,0,3)) &gt; 0,1,0)</f>
        <v>0</v>
      </c>
      <c r="AB43" s="23" t="s">
        <v>40</v>
      </c>
      <c r="AC43" s="3">
        <f t="shared" si="7"/>
        <v>0</v>
      </c>
      <c r="AD43" s="3">
        <f t="shared" ca="1" si="11"/>
        <v>0</v>
      </c>
      <c r="AE43" s="31">
        <f t="shared" ca="1" si="8"/>
        <v>0</v>
      </c>
      <c r="AF43" s="20"/>
    </row>
    <row r="44" spans="1:32" x14ac:dyDescent="0.2">
      <c r="A44">
        <f t="shared" si="3"/>
        <v>17</v>
      </c>
      <c r="B44" s="3">
        <f t="shared" si="4"/>
        <v>15</v>
      </c>
      <c r="C44" s="1" t="str">
        <f t="shared" si="5"/>
        <v>UOBT</v>
      </c>
      <c r="D44" s="34">
        <f t="shared" si="6"/>
        <v>0</v>
      </c>
      <c r="E44" s="29" t="str">
        <f ca="1">INDIRECT(ADDRESS($A$29+4,A44))</f>
        <v/>
      </c>
      <c r="G44" s="50"/>
      <c r="H44" s="48"/>
      <c r="I44" s="29"/>
      <c r="J44" s="29"/>
      <c r="K44" s="29"/>
      <c r="L44" s="49"/>
      <c r="M44" s="49"/>
      <c r="O44" s="30"/>
      <c r="P44" s="30"/>
      <c r="Q44" s="30"/>
      <c r="S44" s="2" t="str">
        <f t="shared" ref="S44:S51" si="12">IF(ISBLANK(O44),"",O44)</f>
        <v/>
      </c>
      <c r="T44" s="30"/>
      <c r="U44" s="30"/>
      <c r="W44" s="3">
        <v>3</v>
      </c>
      <c r="X44" s="6">
        <v>15</v>
      </c>
      <c r="Y44" s="6">
        <v>1</v>
      </c>
      <c r="Z44" s="6">
        <v>0</v>
      </c>
      <c r="AA44" s="6">
        <f ca="1">IF(SUM(OFFSET(INDIRECT(ADDRESS($A$29,$A44)),1,0,3)) &gt; 0,1,0)</f>
        <v>0</v>
      </c>
      <c r="AB44" s="23" t="s">
        <v>41</v>
      </c>
      <c r="AC44" s="3">
        <f t="shared" si="7"/>
        <v>0</v>
      </c>
      <c r="AD44" s="3">
        <f t="shared" ca="1" si="11"/>
        <v>0</v>
      </c>
      <c r="AE44" s="31">
        <f t="shared" ca="1" si="8"/>
        <v>0</v>
      </c>
      <c r="AF44" s="20"/>
    </row>
    <row r="45" spans="1:32" x14ac:dyDescent="0.2">
      <c r="A45">
        <f t="shared" si="3"/>
        <v>18</v>
      </c>
      <c r="B45" s="3">
        <f t="shared" si="4"/>
        <v>16</v>
      </c>
      <c r="C45" s="1" t="str">
        <f t="shared" si="5"/>
        <v>GSB</v>
      </c>
      <c r="D45" s="34">
        <f t="shared" si="6"/>
        <v>0</v>
      </c>
      <c r="E45" s="29" t="str">
        <f ca="1">INDIRECT(ADDRESS($A$29+4,A45))</f>
        <v/>
      </c>
      <c r="G45" s="50"/>
      <c r="H45" s="48"/>
      <c r="I45" s="29"/>
      <c r="J45" s="29"/>
      <c r="K45" s="29"/>
      <c r="L45" s="49"/>
      <c r="M45" s="49"/>
      <c r="O45" s="30"/>
      <c r="P45" s="30"/>
      <c r="Q45" s="30"/>
      <c r="S45" s="2" t="str">
        <f t="shared" si="12"/>
        <v/>
      </c>
      <c r="T45" s="30"/>
      <c r="U45" s="30"/>
      <c r="W45" s="3">
        <v>3</v>
      </c>
      <c r="X45" s="6">
        <v>16</v>
      </c>
      <c r="Y45" s="6">
        <v>1</v>
      </c>
      <c r="Z45" s="6">
        <v>0</v>
      </c>
      <c r="AA45" s="6">
        <f ca="1">IF(SUM(OFFSET(INDIRECT(ADDRESS($A$29,$A45)),1,0,3)) &gt; 0,1,0)</f>
        <v>0</v>
      </c>
      <c r="AB45" s="23" t="s">
        <v>15</v>
      </c>
      <c r="AC45" s="3">
        <f t="shared" si="7"/>
        <v>0</v>
      </c>
      <c r="AD45" s="3">
        <f t="shared" ca="1" si="11"/>
        <v>0</v>
      </c>
      <c r="AE45" s="31">
        <f t="shared" ca="1" si="8"/>
        <v>0</v>
      </c>
      <c r="AF45" s="20"/>
    </row>
    <row r="46" spans="1:32" x14ac:dyDescent="0.2">
      <c r="A46">
        <f t="shared" si="3"/>
        <v>19</v>
      </c>
      <c r="B46" s="3">
        <f t="shared" si="4"/>
        <v>17</v>
      </c>
      <c r="C46" s="1" t="str">
        <f t="shared" si="5"/>
        <v>KGI</v>
      </c>
      <c r="D46" s="34">
        <f t="shared" si="6"/>
        <v>0</v>
      </c>
      <c r="E46" s="29" t="str">
        <f ca="1">INDIRECT(ADDRESS($A$29+4,A46))</f>
        <v/>
      </c>
      <c r="G46" s="50"/>
      <c r="H46" s="48"/>
      <c r="I46" s="29"/>
      <c r="J46" s="29"/>
      <c r="K46" s="29"/>
      <c r="L46" s="49"/>
      <c r="M46" s="49"/>
      <c r="O46" s="30"/>
      <c r="P46" s="30"/>
      <c r="Q46" s="30"/>
      <c r="S46" s="2" t="str">
        <f t="shared" si="12"/>
        <v/>
      </c>
      <c r="T46" s="30"/>
      <c r="U46" s="30"/>
      <c r="W46" s="3">
        <v>3</v>
      </c>
      <c r="X46" s="6">
        <v>17</v>
      </c>
      <c r="Y46" s="6">
        <v>1</v>
      </c>
      <c r="Z46" s="6">
        <v>0</v>
      </c>
      <c r="AA46" s="6">
        <f ca="1">IF(SUM(OFFSET(INDIRECT(ADDRESS($A$29,$A46)),1,0,3)) &gt; 0,1,0)</f>
        <v>0</v>
      </c>
      <c r="AB46" s="23" t="s">
        <v>42</v>
      </c>
      <c r="AC46" s="3">
        <f t="shared" si="7"/>
        <v>0</v>
      </c>
      <c r="AD46" s="3">
        <f t="shared" ca="1" si="11"/>
        <v>0</v>
      </c>
      <c r="AE46" s="31">
        <f t="shared" ca="1" si="8"/>
        <v>0</v>
      </c>
      <c r="AF46" s="20"/>
    </row>
    <row r="47" spans="1:32" x14ac:dyDescent="0.2">
      <c r="A47">
        <f t="shared" si="3"/>
        <v>20</v>
      </c>
      <c r="B47" s="3">
        <f t="shared" si="4"/>
        <v>18</v>
      </c>
      <c r="C47" s="1" t="str">
        <f t="shared" si="5"/>
        <v>BAML</v>
      </c>
      <c r="D47" s="34">
        <f t="shared" si="6"/>
        <v>0</v>
      </c>
      <c r="E47" s="29" t="str">
        <f ca="1">INDIRECT(ADDRESS($A$29+4,A47))</f>
        <v/>
      </c>
      <c r="G47" s="50"/>
      <c r="H47" s="48"/>
      <c r="I47" s="29"/>
      <c r="J47" s="29"/>
      <c r="K47" s="29"/>
      <c r="L47" s="49"/>
      <c r="M47" s="49"/>
      <c r="O47" s="30"/>
      <c r="P47" s="30"/>
      <c r="Q47" s="30"/>
      <c r="S47" s="2" t="str">
        <f t="shared" si="12"/>
        <v/>
      </c>
      <c r="T47" s="30"/>
      <c r="U47" s="30"/>
      <c r="W47" s="3">
        <v>3</v>
      </c>
      <c r="X47" s="6">
        <v>18</v>
      </c>
      <c r="Y47" s="6">
        <v>1</v>
      </c>
      <c r="Z47" s="6">
        <v>0</v>
      </c>
      <c r="AA47" s="6">
        <f ca="1">IF(SUM(OFFSET(INDIRECT(ADDRESS($A$29,$A47)),1,0,3)) &gt; 0,1,0)</f>
        <v>0</v>
      </c>
      <c r="AB47" s="23" t="s">
        <v>43</v>
      </c>
      <c r="AC47" s="3">
        <f t="shared" si="7"/>
        <v>0</v>
      </c>
      <c r="AD47" s="3">
        <f t="shared" ca="1" si="11"/>
        <v>0</v>
      </c>
      <c r="AE47" s="31">
        <f t="shared" ca="1" si="8"/>
        <v>0</v>
      </c>
      <c r="AF47" s="20"/>
    </row>
    <row r="48" spans="1:32" x14ac:dyDescent="0.2">
      <c r="A48">
        <f t="shared" si="3"/>
        <v>21</v>
      </c>
      <c r="B48" s="3">
        <f t="shared" si="4"/>
        <v>19</v>
      </c>
      <c r="C48" s="1" t="str">
        <f t="shared" si="5"/>
        <v>JP_MORGAN</v>
      </c>
      <c r="D48" s="34">
        <f t="shared" si="6"/>
        <v>0</v>
      </c>
      <c r="E48" s="29" t="str">
        <f ca="1">INDIRECT(ADDRESS($A$29+4,A48))</f>
        <v/>
      </c>
      <c r="G48" s="50"/>
      <c r="H48" s="48"/>
      <c r="I48" s="29"/>
      <c r="J48" s="29"/>
      <c r="K48" s="29"/>
      <c r="L48" s="49"/>
      <c r="M48" s="49"/>
      <c r="O48" s="30"/>
      <c r="P48" s="30"/>
      <c r="Q48" s="30"/>
      <c r="S48" s="2" t="str">
        <f t="shared" si="12"/>
        <v/>
      </c>
      <c r="T48" s="30"/>
      <c r="U48" s="30"/>
      <c r="W48" s="3">
        <v>3</v>
      </c>
      <c r="X48" s="6">
        <v>19</v>
      </c>
      <c r="Y48" s="6">
        <v>1</v>
      </c>
      <c r="Z48" s="6">
        <v>0</v>
      </c>
      <c r="AA48" s="6">
        <f ca="1">IF(SUM(OFFSET(INDIRECT(ADDRESS($A$29,$A48)),1,0,3)) &gt; 0,1,0)</f>
        <v>0</v>
      </c>
      <c r="AB48" s="23" t="s">
        <v>44</v>
      </c>
      <c r="AC48" s="3">
        <f t="shared" si="7"/>
        <v>0</v>
      </c>
      <c r="AD48" s="3">
        <f t="shared" ca="1" si="11"/>
        <v>0</v>
      </c>
      <c r="AE48" s="31">
        <f t="shared" ca="1" si="8"/>
        <v>0</v>
      </c>
      <c r="AF48" s="20"/>
    </row>
    <row r="49" spans="1:32" x14ac:dyDescent="0.2">
      <c r="A49">
        <f t="shared" si="3"/>
        <v>22</v>
      </c>
      <c r="B49" s="3">
        <f t="shared" si="4"/>
        <v>20</v>
      </c>
      <c r="C49" s="1" t="str">
        <f t="shared" si="5"/>
        <v>ANZT</v>
      </c>
      <c r="D49" s="34">
        <f t="shared" si="6"/>
        <v>0</v>
      </c>
      <c r="E49" s="29" t="str">
        <f ca="1">INDIRECT(ADDRESS($A$29+4,A49))</f>
        <v/>
      </c>
      <c r="G49" s="50"/>
      <c r="H49" s="48"/>
      <c r="I49" s="29"/>
      <c r="J49" s="29"/>
      <c r="K49" s="29"/>
      <c r="L49" s="49"/>
      <c r="M49" s="49"/>
      <c r="O49" s="30"/>
      <c r="P49" s="30"/>
      <c r="Q49" s="30"/>
      <c r="S49" s="2" t="str">
        <f t="shared" si="12"/>
        <v/>
      </c>
      <c r="T49" s="30"/>
      <c r="U49" s="30"/>
      <c r="W49" s="3">
        <v>3</v>
      </c>
      <c r="X49" s="6">
        <v>20</v>
      </c>
      <c r="Y49" s="6">
        <v>1</v>
      </c>
      <c r="Z49" s="6">
        <v>0</v>
      </c>
      <c r="AA49" s="6">
        <f ca="1">IF(SUM(OFFSET(INDIRECT(ADDRESS($A$29,$A49)),1,0,3)) &gt; 0,1,0)</f>
        <v>0</v>
      </c>
      <c r="AB49" s="23" t="s">
        <v>45</v>
      </c>
      <c r="AC49" s="3">
        <f t="shared" si="7"/>
        <v>0</v>
      </c>
      <c r="AD49" s="3">
        <f t="shared" ca="1" si="11"/>
        <v>0</v>
      </c>
      <c r="AE49" s="31">
        <f t="shared" ca="1" si="8"/>
        <v>0</v>
      </c>
      <c r="AF49" s="20"/>
    </row>
    <row r="50" spans="1:32" x14ac:dyDescent="0.2">
      <c r="A50">
        <f t="shared" si="3"/>
        <v>23</v>
      </c>
      <c r="B50" s="3">
        <f t="shared" si="4"/>
        <v>21</v>
      </c>
      <c r="C50" s="1" t="str">
        <f t="shared" si="5"/>
        <v>DEUTSCHE_BANK</v>
      </c>
      <c r="D50" s="34">
        <f t="shared" si="6"/>
        <v>0</v>
      </c>
      <c r="E50" s="29" t="str">
        <f ca="1">INDIRECT(ADDRESS($A$29+4,A50))</f>
        <v/>
      </c>
      <c r="G50" s="50"/>
      <c r="H50" s="48"/>
      <c r="I50" s="29"/>
      <c r="J50" s="29"/>
      <c r="K50" s="29"/>
      <c r="L50" s="49"/>
      <c r="M50" s="49"/>
      <c r="O50" s="30"/>
      <c r="P50" s="30"/>
      <c r="Q50" s="30"/>
      <c r="S50" s="2" t="str">
        <f t="shared" si="12"/>
        <v/>
      </c>
      <c r="T50" s="30"/>
      <c r="U50" s="30"/>
      <c r="W50" s="3">
        <v>3</v>
      </c>
      <c r="X50" s="6">
        <v>21</v>
      </c>
      <c r="Y50" s="6">
        <v>1</v>
      </c>
      <c r="Z50" s="6">
        <v>0</v>
      </c>
      <c r="AA50" s="6">
        <f ca="1">IF(SUM(OFFSET(INDIRECT(ADDRESS($A$29,$A50)),1,0,3)) &gt; 0,1,0)</f>
        <v>0</v>
      </c>
      <c r="AB50" s="23" t="s">
        <v>46</v>
      </c>
      <c r="AC50" s="3">
        <f t="shared" si="7"/>
        <v>0</v>
      </c>
      <c r="AD50" s="3">
        <f t="shared" ca="1" si="11"/>
        <v>0</v>
      </c>
      <c r="AE50" s="31">
        <f t="shared" ca="1" si="8"/>
        <v>0</v>
      </c>
      <c r="AF50" s="20"/>
    </row>
    <row r="51" spans="1:32" x14ac:dyDescent="0.2">
      <c r="A51">
        <f t="shared" si="3"/>
        <v>24</v>
      </c>
      <c r="B51" s="3">
        <f t="shared" si="4"/>
        <v>22</v>
      </c>
      <c r="C51" s="1" t="str">
        <f t="shared" si="5"/>
        <v>CNS</v>
      </c>
      <c r="D51" s="34">
        <f t="shared" si="6"/>
        <v>0</v>
      </c>
      <c r="E51" s="29" t="str">
        <f ca="1">INDIRECT(ADDRESS($A$29+4,A51))</f>
        <v/>
      </c>
      <c r="O51" s="30"/>
      <c r="P51" s="30"/>
      <c r="Q51" s="30"/>
      <c r="S51" s="2" t="str">
        <f t="shared" si="12"/>
        <v/>
      </c>
      <c r="T51" s="30"/>
      <c r="U51" s="30"/>
      <c r="W51" s="3">
        <v>3</v>
      </c>
      <c r="X51" s="6">
        <v>22</v>
      </c>
      <c r="Y51" s="6">
        <v>1</v>
      </c>
      <c r="Z51" s="6">
        <v>0</v>
      </c>
      <c r="AA51" s="6">
        <f ca="1">IF(SUM(OFFSET(INDIRECT(ADDRESS($A$29,$A51)),1,0,3)) &gt; 0,1,0)</f>
        <v>0</v>
      </c>
      <c r="AB51" s="23" t="s">
        <v>47</v>
      </c>
      <c r="AC51" s="3">
        <f t="shared" si="7"/>
        <v>0</v>
      </c>
      <c r="AD51" s="3">
        <f t="shared" ca="1" si="11"/>
        <v>0</v>
      </c>
      <c r="AE51" s="31">
        <f t="shared" ca="1" si="8"/>
        <v>0</v>
      </c>
      <c r="AF51" s="20"/>
    </row>
    <row r="52" spans="1:32" ht="15" thickBot="1" x14ac:dyDescent="0.25">
      <c r="A52">
        <f t="shared" si="3"/>
        <v>25</v>
      </c>
      <c r="B52" s="3">
        <f t="shared" si="4"/>
        <v>23</v>
      </c>
      <c r="C52" s="1" t="str">
        <f t="shared" si="5"/>
        <v>PHATRA</v>
      </c>
      <c r="D52" s="34">
        <f t="shared" si="6"/>
        <v>0</v>
      </c>
      <c r="E52" s="29" t="str">
        <f ca="1">INDIRECT(ADDRESS($A$29+4,A52))</f>
        <v/>
      </c>
      <c r="N52" s="57" t="s">
        <v>68</v>
      </c>
      <c r="O52" s="58">
        <f>H31-P52</f>
        <v>3200</v>
      </c>
      <c r="P52" s="35">
        <f>SUM(P43:P51)</f>
        <v>3000</v>
      </c>
      <c r="Q52" s="35">
        <f>SUM(Q43:Q51)</f>
        <v>0</v>
      </c>
      <c r="R52" s="57" t="s">
        <v>69</v>
      </c>
      <c r="S52" s="58">
        <f>H31-T52</f>
        <v>6200</v>
      </c>
      <c r="T52" s="35">
        <f>SUM(T43:T51)</f>
        <v>0</v>
      </c>
      <c r="U52" s="35">
        <f>SUM(U43:U51)</f>
        <v>0</v>
      </c>
      <c r="W52" s="3">
        <v>3</v>
      </c>
      <c r="X52" s="6">
        <v>23</v>
      </c>
      <c r="Y52" s="6">
        <v>1</v>
      </c>
      <c r="Z52" s="6">
        <v>0</v>
      </c>
      <c r="AA52" s="6">
        <f ca="1">IF(SUM(OFFSET(INDIRECT(ADDRESS($A$29,$A52)),1,0,3)) &gt; 0,1,0)</f>
        <v>0</v>
      </c>
      <c r="AB52" s="23" t="s">
        <v>48</v>
      </c>
      <c r="AC52" s="3">
        <f t="shared" si="7"/>
        <v>0</v>
      </c>
      <c r="AD52" s="3">
        <f t="shared" ca="1" si="11"/>
        <v>0</v>
      </c>
      <c r="AE52" s="31">
        <f t="shared" ca="1" si="8"/>
        <v>0</v>
      </c>
      <c r="AF52" s="20"/>
    </row>
    <row r="53" spans="1:32" ht="15" thickTop="1" x14ac:dyDescent="0.2">
      <c r="A53">
        <f t="shared" si="3"/>
        <v>26</v>
      </c>
      <c r="B53" s="3">
        <f t="shared" si="4"/>
        <v>24</v>
      </c>
      <c r="C53" s="1" t="str">
        <f t="shared" si="5"/>
        <v>MBKET</v>
      </c>
      <c r="D53" s="34">
        <f t="shared" si="6"/>
        <v>0</v>
      </c>
      <c r="E53" s="29" t="str">
        <f ca="1">INDIRECT(ADDRESS($A$29+4,A53))</f>
        <v/>
      </c>
      <c r="W53" s="3">
        <v>3</v>
      </c>
      <c r="X53" s="6">
        <v>24</v>
      </c>
      <c r="Y53" s="6">
        <v>1</v>
      </c>
      <c r="Z53" s="6">
        <v>0</v>
      </c>
      <c r="AA53" s="6">
        <f ca="1">IF(SUM(OFFSET(INDIRECT(ADDRESS($A$29,$A53)),1,0,3)) &gt; 0,1,0)</f>
        <v>0</v>
      </c>
      <c r="AB53" s="23" t="s">
        <v>49</v>
      </c>
      <c r="AC53" s="3">
        <f t="shared" si="7"/>
        <v>0</v>
      </c>
      <c r="AD53" s="3">
        <f t="shared" ca="1" si="11"/>
        <v>0</v>
      </c>
      <c r="AE53" s="21">
        <f t="shared" ca="1" si="8"/>
        <v>0</v>
      </c>
      <c r="AF53" s="21">
        <f ca="1">SUMIF($W$30:$W$53,$W$53,$AD$30:$AD$53)/$AD$54</f>
        <v>0</v>
      </c>
    </row>
    <row r="54" spans="1:32" ht="15" thickBot="1" x14ac:dyDescent="0.25">
      <c r="D54" s="64">
        <f>SUM(D30:D53)</f>
        <v>9600</v>
      </c>
      <c r="E54" s="67" t="str">
        <f ca="1">IFERROR(AVERAGE(E30:E53),"")</f>
        <v/>
      </c>
      <c r="O54" s="40" t="str">
        <f>"Auction Excute : " &amp;G32</f>
        <v>Auction Excute : CB19207A</v>
      </c>
      <c r="S54" s="4" t="s">
        <v>19</v>
      </c>
      <c r="AB54" s="8" t="s">
        <v>18</v>
      </c>
      <c r="AC54" s="65">
        <f>SUM(AC30:AC53)</f>
        <v>9200</v>
      </c>
      <c r="AD54" s="66">
        <f ca="1">SUM(AD30:AD53)</f>
        <v>18400</v>
      </c>
    </row>
    <row r="55" spans="1:32" ht="15" thickTop="1" x14ac:dyDescent="0.2">
      <c r="A55" s="63" t="s">
        <v>71</v>
      </c>
      <c r="G55" s="4" t="s">
        <v>70</v>
      </c>
      <c r="J55" s="54" t="s">
        <v>25</v>
      </c>
      <c r="K55" s="55"/>
      <c r="L55" s="56"/>
      <c r="O55" s="33" t="s">
        <v>0</v>
      </c>
      <c r="P55" s="33" t="s">
        <v>4</v>
      </c>
      <c r="Q55" s="33" t="s">
        <v>25</v>
      </c>
      <c r="S55" s="33" t="s">
        <v>0</v>
      </c>
      <c r="T55" s="33" t="s">
        <v>4</v>
      </c>
      <c r="U55" s="33" t="s">
        <v>25</v>
      </c>
    </row>
    <row r="56" spans="1:32" x14ac:dyDescent="0.2">
      <c r="B56" s="4" t="s">
        <v>29</v>
      </c>
      <c r="G56" s="33" t="s">
        <v>26</v>
      </c>
      <c r="H56" s="45" t="s">
        <v>18</v>
      </c>
      <c r="I56" s="45" t="s">
        <v>21</v>
      </c>
      <c r="J56" s="33" t="s">
        <v>6</v>
      </c>
      <c r="K56" s="33" t="s">
        <v>7</v>
      </c>
      <c r="L56" s="33" t="s">
        <v>8</v>
      </c>
      <c r="O56" s="30"/>
      <c r="P56" s="30"/>
      <c r="Q56" s="14"/>
      <c r="S56" s="2" t="str">
        <f>IF(ISBLANK(O56),"",O56)</f>
        <v/>
      </c>
      <c r="T56" s="30"/>
      <c r="U56" s="14"/>
    </row>
    <row r="57" spans="1:32" x14ac:dyDescent="0.2">
      <c r="A57" t="s">
        <v>13</v>
      </c>
      <c r="B57" t="s">
        <v>30</v>
      </c>
      <c r="C57" s="11">
        <v>1</v>
      </c>
      <c r="G57" s="41" t="str">
        <f>G30</f>
        <v>TB19327A</v>
      </c>
      <c r="H57" s="14"/>
      <c r="I57" s="14"/>
      <c r="J57" s="14"/>
      <c r="K57" s="14"/>
      <c r="L57" s="14"/>
      <c r="O57" s="30"/>
      <c r="P57" s="30"/>
      <c r="Q57" s="30"/>
      <c r="S57" s="2" t="str">
        <f t="shared" ref="S57:S64" si="13">IF(ISBLANK(O57),"",O57)</f>
        <v/>
      </c>
      <c r="T57" s="30"/>
      <c r="U57" s="30"/>
    </row>
    <row r="58" spans="1:32" x14ac:dyDescent="0.2">
      <c r="A58" t="s">
        <v>11</v>
      </c>
      <c r="B58" t="s">
        <v>31</v>
      </c>
      <c r="C58" s="11">
        <v>0.4</v>
      </c>
      <c r="G58" s="42" t="str">
        <f>G31</f>
        <v>CB19209A</v>
      </c>
      <c r="H58" s="14"/>
      <c r="I58" s="14"/>
      <c r="J58" s="14"/>
      <c r="K58" s="14"/>
      <c r="L58" s="14"/>
      <c r="O58" s="30"/>
      <c r="P58" s="30"/>
      <c r="Q58" s="30"/>
      <c r="S58" s="2" t="str">
        <f t="shared" si="13"/>
        <v/>
      </c>
      <c r="T58" s="30"/>
      <c r="U58" s="30"/>
    </row>
    <row r="59" spans="1:32" x14ac:dyDescent="0.2">
      <c r="A59" t="s">
        <v>10</v>
      </c>
      <c r="B59" t="s">
        <v>32</v>
      </c>
      <c r="C59" s="11">
        <v>0.1</v>
      </c>
      <c r="G59" s="43" t="str">
        <f>G32</f>
        <v>CB19207A</v>
      </c>
      <c r="H59" s="14"/>
      <c r="I59" s="14"/>
      <c r="J59" s="14"/>
      <c r="K59" s="14"/>
      <c r="L59" s="14"/>
      <c r="O59" s="30"/>
      <c r="P59" s="30"/>
      <c r="Q59" s="30"/>
      <c r="S59" s="2" t="str">
        <f t="shared" si="13"/>
        <v/>
      </c>
      <c r="T59" s="30"/>
      <c r="U59" s="30"/>
    </row>
    <row r="60" spans="1:32" x14ac:dyDescent="0.2">
      <c r="A60" t="s">
        <v>34</v>
      </c>
      <c r="O60" s="30"/>
      <c r="P60" s="30"/>
      <c r="Q60" s="30"/>
      <c r="S60" s="2" t="str">
        <f t="shared" si="13"/>
        <v/>
      </c>
      <c r="T60" s="30"/>
      <c r="U60" s="30"/>
    </row>
    <row r="61" spans="1:32" x14ac:dyDescent="0.2">
      <c r="O61" s="30"/>
      <c r="P61" s="30"/>
      <c r="Q61" s="30"/>
      <c r="S61" s="2" t="str">
        <f t="shared" si="13"/>
        <v/>
      </c>
      <c r="T61" s="30"/>
      <c r="U61" s="30"/>
    </row>
    <row r="62" spans="1:32" x14ac:dyDescent="0.2">
      <c r="O62" s="30"/>
      <c r="P62" s="30"/>
      <c r="Q62" s="30"/>
      <c r="S62" s="2" t="str">
        <f t="shared" si="13"/>
        <v/>
      </c>
      <c r="T62" s="30"/>
      <c r="U62" s="30"/>
    </row>
    <row r="63" spans="1:32" x14ac:dyDescent="0.2">
      <c r="O63" s="30"/>
      <c r="P63" s="30"/>
      <c r="Q63" s="30"/>
      <c r="S63" s="2" t="str">
        <f t="shared" si="13"/>
        <v/>
      </c>
      <c r="T63" s="30"/>
      <c r="U63" s="30"/>
    </row>
    <row r="64" spans="1:32" x14ac:dyDescent="0.2">
      <c r="O64" s="30"/>
      <c r="P64" s="30"/>
      <c r="Q64" s="30"/>
      <c r="S64" s="2" t="str">
        <f t="shared" si="13"/>
        <v/>
      </c>
      <c r="T64" s="30"/>
      <c r="U64" s="30"/>
    </row>
    <row r="65" spans="14:21" ht="15" thickBot="1" x14ac:dyDescent="0.25">
      <c r="N65" s="57" t="s">
        <v>68</v>
      </c>
      <c r="O65" s="58">
        <f>H32-P65</f>
        <v>0</v>
      </c>
      <c r="P65" s="35">
        <f>SUM(P56:P64)</f>
        <v>0</v>
      </c>
      <c r="Q65" s="35">
        <f>SUM(Q56:Q64)</f>
        <v>0</v>
      </c>
      <c r="R65" s="57" t="s">
        <v>69</v>
      </c>
      <c r="S65" s="58">
        <f>H32-T65</f>
        <v>0</v>
      </c>
      <c r="T65" s="35">
        <f>SUM(T56:T64)</f>
        <v>0</v>
      </c>
      <c r="U65" s="35">
        <f>SUM(U56:U64)</f>
        <v>0</v>
      </c>
    </row>
    <row r="66" spans="14:21" ht="15" thickTop="1" x14ac:dyDescent="0.2"/>
  </sheetData>
  <mergeCells count="4">
    <mergeCell ref="B2:AC2"/>
    <mergeCell ref="B9:AC9"/>
    <mergeCell ref="B16:AC16"/>
    <mergeCell ref="J55:L55"/>
  </mergeCells>
  <conditionalFormatting sqref="C7:Z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2">
    <cfRule type="cellIs" dxfId="47" priority="24" operator="greaterThan">
      <formula>0.5</formula>
    </cfRule>
    <cfRule type="cellIs" dxfId="46" priority="25" operator="lessThan">
      <formula>0.5</formula>
    </cfRule>
  </conditionalFormatting>
  <conditionalFormatting sqref="C14:Z1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:Z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0:AE53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{C29245ED-C64B-4AA7-9C01-AFA174B3D6A0}</x14:id>
        </ext>
      </extLst>
    </cfRule>
  </conditionalFormatting>
  <conditionalFormatting sqref="E30:E5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45" priority="29" operator="lessThan">
      <formula>$C$59</formula>
    </cfRule>
    <cfRule type="cellIs" dxfId="44" priority="30" operator="greaterThan">
      <formula>$C$59</formula>
    </cfRule>
  </conditionalFormatting>
  <conditionalFormatting sqref="AF37">
    <cfRule type="cellIs" dxfId="43" priority="31" operator="greaterThan">
      <formula>$C$58</formula>
    </cfRule>
    <cfRule type="cellIs" dxfId="42" priority="32" operator="lessThan">
      <formula>$C$58</formula>
    </cfRule>
  </conditionalFormatting>
  <conditionalFormatting sqref="O39">
    <cfRule type="cellIs" dxfId="41" priority="16" operator="lessThan">
      <formula>0</formula>
    </cfRule>
    <cfRule type="cellIs" dxfId="40" priority="17" operator="equal">
      <formula>0</formula>
    </cfRule>
    <cfRule type="cellIs" dxfId="39" priority="18" operator="greaterThan">
      <formula>0</formula>
    </cfRule>
  </conditionalFormatting>
  <conditionalFormatting sqref="S52">
    <cfRule type="cellIs" dxfId="38" priority="4" operator="lessThan">
      <formula>0</formula>
    </cfRule>
    <cfRule type="cellIs" dxfId="37" priority="5" operator="equal">
      <formula>0</formula>
    </cfRule>
    <cfRule type="cellIs" dxfId="36" priority="6" operator="greaterThan">
      <formula>0</formula>
    </cfRule>
  </conditionalFormatting>
  <conditionalFormatting sqref="O52">
    <cfRule type="cellIs" dxfId="35" priority="13" operator="lessThan">
      <formula>0</formula>
    </cfRule>
    <cfRule type="cellIs" dxfId="34" priority="14" operator="equal">
      <formula>0</formula>
    </cfRule>
    <cfRule type="cellIs" dxfId="33" priority="15" operator="greaterThan">
      <formula>0</formula>
    </cfRule>
  </conditionalFormatting>
  <conditionalFormatting sqref="O65">
    <cfRule type="cellIs" dxfId="32" priority="10" operator="lessThan">
      <formula>0</formula>
    </cfRule>
    <cfRule type="cellIs" dxfId="31" priority="11" operator="equal">
      <formula>0</formula>
    </cfRule>
    <cfRule type="cellIs" dxfId="30" priority="12" operator="greaterThan">
      <formula>0</formula>
    </cfRule>
  </conditionalFormatting>
  <conditionalFormatting sqref="S39">
    <cfRule type="cellIs" dxfId="29" priority="7" operator="lessThan">
      <formula>0</formula>
    </cfRule>
    <cfRule type="cellIs" dxfId="28" priority="8" operator="equal">
      <formula>0</formula>
    </cfRule>
    <cfRule type="cellIs" dxfId="27" priority="9" operator="greaterThan">
      <formula>0</formula>
    </cfRule>
  </conditionalFormatting>
  <conditionalFormatting sqref="S65">
    <cfRule type="cellIs" dxfId="26" priority="1" operator="lessThan">
      <formula>0</formula>
    </cfRule>
    <cfRule type="cellIs" dxfId="25" priority="2" operator="equal">
      <formula>0</formula>
    </cfRule>
    <cfRule type="cellIs" dxfId="24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9245ED-C64B-4AA7-9C01-AFA174B3D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7" id="{09CD7316-C486-4B79-9207-D4F8E3F047D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8" id="{2CBD0D22-D7E8-4469-AF79-B6EF7D6FA2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BAE5-D47A-483F-BA5A-117160D49AD2}">
  <sheetPr codeName="Sheet4"/>
  <dimension ref="A1:AS66"/>
  <sheetViews>
    <sheetView topLeftCell="B1" zoomScale="70" zoomScaleNormal="70" workbookViewId="0">
      <selection activeCell="G15" sqref="G15"/>
    </sheetView>
  </sheetViews>
  <sheetFormatPr defaultRowHeight="14.25" outlineLevelRow="1" outlineLevelCol="1" x14ac:dyDescent="0.2"/>
  <cols>
    <col min="1" max="1" width="8.125" hidden="1" customWidth="1"/>
    <col min="2" max="2" width="9.5" customWidth="1"/>
    <col min="3" max="3" width="12.5" customWidth="1"/>
    <col min="4" max="4" width="13.125" customWidth="1"/>
    <col min="5" max="5" width="12" customWidth="1"/>
    <col min="6" max="6" width="11.375" customWidth="1"/>
    <col min="7" max="7" width="13.375" customWidth="1"/>
    <col min="8" max="8" width="15.25" customWidth="1"/>
    <col min="9" max="9" width="18.125" customWidth="1"/>
    <col min="10" max="10" width="18.625" customWidth="1"/>
    <col min="11" max="11" width="16.2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hidden="1" customWidth="1" outlineLevel="1"/>
    <col min="24" max="24" width="10.875" hidden="1" customWidth="1" outlineLevel="1"/>
    <col min="25" max="25" width="10.625" hidden="1" customWidth="1" outlineLevel="1"/>
    <col min="26" max="26" width="11.25" hidden="1" customWidth="1" outlineLevel="1"/>
    <col min="27" max="27" width="11.25" customWidth="1" collapsed="1"/>
    <col min="28" max="28" width="12.125" customWidth="1"/>
    <col min="29" max="29" width="12.25" customWidth="1"/>
    <col min="30" max="30" width="12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9" t="str">
        <f xml:space="preserve"> "Auction Dashboard "</f>
        <v xml:space="preserve">Auction Dashboard </v>
      </c>
      <c r="D1" s="62">
        <v>43381</v>
      </c>
      <c r="E1" s="61"/>
    </row>
    <row r="2" spans="2:45" ht="16.149999999999999" customHeight="1" x14ac:dyDescent="0.2">
      <c r="B2" s="51" t="str">
        <f>"Indicative yield : " &amp;G30</f>
        <v xml:space="preserve">Indicative yield : 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3"/>
    </row>
    <row r="3" spans="2:45" x14ac:dyDescent="0.2">
      <c r="B3" s="27" t="s">
        <v>0</v>
      </c>
      <c r="C3" s="28" t="str">
        <f t="array" ref="C3:Z3">TRANSPOSE($AB$30:$AB$53)</f>
        <v>BNP</v>
      </c>
      <c r="D3" s="28" t="str">
        <v>BBL</v>
      </c>
      <c r="E3" s="28" t="str">
        <v>KBANK</v>
      </c>
      <c r="F3" s="28" t="str">
        <v>TMB</v>
      </c>
      <c r="G3" s="28" t="str">
        <v>KTB</v>
      </c>
      <c r="H3" s="28" t="str">
        <v>CIMBT</v>
      </c>
      <c r="I3" s="28" t="str">
        <v>BAY</v>
      </c>
      <c r="J3" s="28" t="str">
        <v>SCB</v>
      </c>
      <c r="K3" s="28" t="str">
        <v>TBANK</v>
      </c>
      <c r="L3" s="28" t="str">
        <v>TISCOBANK</v>
      </c>
      <c r="M3" s="28" t="str">
        <v>SCBT</v>
      </c>
      <c r="N3" s="28" t="str">
        <v>HSBC</v>
      </c>
      <c r="O3" s="28" t="str">
        <v>CITIBANK</v>
      </c>
      <c r="P3" s="28" t="str">
        <v>KKP</v>
      </c>
      <c r="Q3" s="28" t="str">
        <v>UOBT</v>
      </c>
      <c r="R3" s="28" t="str">
        <v>GSB</v>
      </c>
      <c r="S3" s="28" t="str">
        <v>KGI</v>
      </c>
      <c r="T3" s="28" t="str">
        <v>BAML</v>
      </c>
      <c r="U3" s="28" t="str">
        <v>JP_MORGAN</v>
      </c>
      <c r="V3" s="28" t="str">
        <v>ANZT</v>
      </c>
      <c r="W3" s="28" t="str">
        <v>DEUTSCHE_BANK</v>
      </c>
      <c r="X3" s="28" t="str">
        <v>CNS</v>
      </c>
      <c r="Y3" s="28" t="str">
        <v>PHATRA</v>
      </c>
      <c r="Z3" s="28" t="str">
        <v>MBKET</v>
      </c>
      <c r="AA3" s="12" t="s">
        <v>6</v>
      </c>
      <c r="AB3" s="12" t="s">
        <v>7</v>
      </c>
      <c r="AC3" s="12" t="s">
        <v>8</v>
      </c>
      <c r="AD3" s="37">
        <f>G30</f>
        <v>0</v>
      </c>
      <c r="AS3" s="4"/>
    </row>
    <row r="4" spans="2:45" x14ac:dyDescent="0.2">
      <c r="B4" s="27" t="s">
        <v>1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25">
        <f>MIN(C4:Z4)</f>
        <v>0</v>
      </c>
      <c r="AB4" s="25">
        <f>MAX(C4:Z4)</f>
        <v>0</v>
      </c>
      <c r="AC4" s="25">
        <f>IFERROR(AVERAGE(C4:Z4),0)</f>
        <v>0</v>
      </c>
    </row>
    <row r="5" spans="2:45" x14ac:dyDescent="0.2">
      <c r="B5" s="27" t="s">
        <v>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25">
        <f>MIN(C5:Z5)</f>
        <v>0</v>
      </c>
      <c r="AB5" s="25">
        <f>MAX(C5:Z5)</f>
        <v>0</v>
      </c>
      <c r="AC5" s="25">
        <f>IFERROR(AVERAGE(C5:Z5),0)</f>
        <v>0</v>
      </c>
    </row>
    <row r="6" spans="2:45" x14ac:dyDescent="0.2">
      <c r="B6" s="27" t="s">
        <v>3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25">
        <f>MIN(C6:Z6)</f>
        <v>0</v>
      </c>
      <c r="AB6" s="25">
        <f>MAX(C6:Z6)</f>
        <v>0</v>
      </c>
      <c r="AC6" s="25">
        <f>IFERROR(AVERAGE(C6:Z6),0)</f>
        <v>0</v>
      </c>
    </row>
    <row r="7" spans="2:45" x14ac:dyDescent="0.2">
      <c r="B7" s="27" t="s">
        <v>8</v>
      </c>
      <c r="C7" s="29" t="str">
        <f>IFERROR(AVERAGE(C4:C6),"")</f>
        <v/>
      </c>
      <c r="D7" s="29" t="str">
        <f t="shared" ref="D7:Z7" si="0">IFERROR(AVERAGE(D4:D6),"")</f>
        <v/>
      </c>
      <c r="E7" s="29" t="str">
        <f t="shared" si="0"/>
        <v/>
      </c>
      <c r="F7" s="29" t="str">
        <f t="shared" si="0"/>
        <v/>
      </c>
      <c r="G7" s="29" t="str">
        <f t="shared" si="0"/>
        <v/>
      </c>
      <c r="H7" s="29" t="str">
        <f t="shared" si="0"/>
        <v/>
      </c>
      <c r="I7" s="29" t="str">
        <f t="shared" si="0"/>
        <v/>
      </c>
      <c r="J7" s="29" t="str">
        <f t="shared" si="0"/>
        <v/>
      </c>
      <c r="K7" s="29" t="str">
        <f t="shared" si="0"/>
        <v/>
      </c>
      <c r="L7" s="29" t="str">
        <f t="shared" si="0"/>
        <v/>
      </c>
      <c r="M7" s="29" t="str">
        <f t="shared" si="0"/>
        <v/>
      </c>
      <c r="N7" s="29" t="str">
        <f t="shared" si="0"/>
        <v/>
      </c>
      <c r="O7" s="29" t="str">
        <f t="shared" si="0"/>
        <v/>
      </c>
      <c r="P7" s="29" t="str">
        <f t="shared" si="0"/>
        <v/>
      </c>
      <c r="Q7" s="29" t="str">
        <f t="shared" si="0"/>
        <v/>
      </c>
      <c r="R7" s="29" t="str">
        <f t="shared" si="0"/>
        <v/>
      </c>
      <c r="S7" s="29" t="str">
        <f t="shared" si="0"/>
        <v/>
      </c>
      <c r="T7" s="29" t="str">
        <f t="shared" si="0"/>
        <v/>
      </c>
      <c r="U7" s="29" t="str">
        <f t="shared" si="0"/>
        <v/>
      </c>
      <c r="V7" s="29" t="str">
        <f t="shared" si="0"/>
        <v/>
      </c>
      <c r="W7" s="29" t="str">
        <f t="shared" si="0"/>
        <v/>
      </c>
      <c r="X7" s="29" t="str">
        <f t="shared" si="0"/>
        <v/>
      </c>
      <c r="Y7" s="29" t="str">
        <f t="shared" si="0"/>
        <v/>
      </c>
      <c r="Z7" s="29" t="str">
        <f t="shared" si="0"/>
        <v/>
      </c>
      <c r="AA7" s="26">
        <f>MAX(AA4:AA6)</f>
        <v>0</v>
      </c>
      <c r="AB7" s="26">
        <f>MAX(AB4:AB6)</f>
        <v>0</v>
      </c>
      <c r="AC7" s="26">
        <f>MAX(AC4:AC6)</f>
        <v>0</v>
      </c>
    </row>
    <row r="9" spans="2:45" outlineLevel="1" x14ac:dyDescent="0.2">
      <c r="B9" s="51" t="str">
        <f>"Indicative yield : " &amp;G31</f>
        <v xml:space="preserve">Indicative yield : 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3"/>
    </row>
    <row r="10" spans="2:45" outlineLevel="1" x14ac:dyDescent="0.2">
      <c r="B10" s="27" t="s">
        <v>0</v>
      </c>
      <c r="C10" s="28" t="str">
        <f t="array" ref="C10:Z10">TRANSPOSE($AB$30:$AB$53)</f>
        <v>BNP</v>
      </c>
      <c r="D10" s="28" t="str">
        <v>BBL</v>
      </c>
      <c r="E10" s="28" t="str">
        <v>KBANK</v>
      </c>
      <c r="F10" s="28" t="str">
        <v>TMB</v>
      </c>
      <c r="G10" s="28" t="str">
        <v>KTB</v>
      </c>
      <c r="H10" s="28" t="str">
        <v>CIMBT</v>
      </c>
      <c r="I10" s="28" t="str">
        <v>BAY</v>
      </c>
      <c r="J10" s="28" t="str">
        <v>SCB</v>
      </c>
      <c r="K10" s="28" t="str">
        <v>TBANK</v>
      </c>
      <c r="L10" s="28" t="str">
        <v>TISCOBANK</v>
      </c>
      <c r="M10" s="28" t="str">
        <v>SCBT</v>
      </c>
      <c r="N10" s="28" t="str">
        <v>HSBC</v>
      </c>
      <c r="O10" s="28" t="str">
        <v>CITIBANK</v>
      </c>
      <c r="P10" s="28" t="str">
        <v>KKP</v>
      </c>
      <c r="Q10" s="28" t="str">
        <v>UOBT</v>
      </c>
      <c r="R10" s="28" t="str">
        <v>GSB</v>
      </c>
      <c r="S10" s="28" t="str">
        <v>KGI</v>
      </c>
      <c r="T10" s="28" t="str">
        <v>BAML</v>
      </c>
      <c r="U10" s="28" t="str">
        <v>JP_MORGAN</v>
      </c>
      <c r="V10" s="28" t="str">
        <v>ANZT</v>
      </c>
      <c r="W10" s="28" t="str">
        <v>DEUTSCHE_BANK</v>
      </c>
      <c r="X10" s="28" t="str">
        <v>CNS</v>
      </c>
      <c r="Y10" s="28" t="str">
        <v>PHATRA</v>
      </c>
      <c r="Z10" s="28" t="str">
        <v>MBKET</v>
      </c>
      <c r="AA10" s="12" t="s">
        <v>6</v>
      </c>
      <c r="AB10" s="12" t="s">
        <v>7</v>
      </c>
      <c r="AC10" s="12" t="s">
        <v>8</v>
      </c>
      <c r="AD10" s="37">
        <f>G31</f>
        <v>0</v>
      </c>
    </row>
    <row r="11" spans="2:45" outlineLevel="1" x14ac:dyDescent="0.2">
      <c r="B11" s="27" t="s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>
        <f>MIN(C11:S11)</f>
        <v>0</v>
      </c>
      <c r="AB11" s="25">
        <f>MAX(C11:S11)</f>
        <v>0</v>
      </c>
      <c r="AC11" s="25">
        <f>IFERROR(AVERAGE(C11:Z11),0)</f>
        <v>0</v>
      </c>
    </row>
    <row r="12" spans="2:45" outlineLevel="1" x14ac:dyDescent="0.2">
      <c r="B12" s="27" t="s">
        <v>2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>
        <f>MIN(C12:S12)</f>
        <v>0</v>
      </c>
      <c r="AB12" s="25">
        <f>MAX(C12:S12)</f>
        <v>0</v>
      </c>
      <c r="AC12" s="25">
        <f>IFERROR(AVERAGE(C12:Z12),0)</f>
        <v>0</v>
      </c>
    </row>
    <row r="13" spans="2:45" outlineLevel="1" x14ac:dyDescent="0.2">
      <c r="B13" s="27" t="s">
        <v>3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25">
        <f>MIN(C13:S13)</f>
        <v>0</v>
      </c>
      <c r="AB13" s="25">
        <f>MAX(C13:S13)</f>
        <v>0</v>
      </c>
      <c r="AC13" s="25">
        <f>IFERROR(AVERAGE(C13:Z13),0)</f>
        <v>0</v>
      </c>
    </row>
    <row r="14" spans="2:45" outlineLevel="1" x14ac:dyDescent="0.2">
      <c r="B14" s="27" t="s">
        <v>8</v>
      </c>
      <c r="C14" s="29" t="str">
        <f t="shared" ref="C14:Z14" si="1">IFERROR(AVERAGE(C11:C13),"")</f>
        <v/>
      </c>
      <c r="D14" s="29" t="str">
        <f t="shared" si="1"/>
        <v/>
      </c>
      <c r="E14" s="29" t="str">
        <f t="shared" si="1"/>
        <v/>
      </c>
      <c r="F14" s="29" t="str">
        <f t="shared" si="1"/>
        <v/>
      </c>
      <c r="G14" s="29" t="str">
        <f t="shared" si="1"/>
        <v/>
      </c>
      <c r="H14" s="29" t="str">
        <f t="shared" si="1"/>
        <v/>
      </c>
      <c r="I14" s="29" t="str">
        <f t="shared" si="1"/>
        <v/>
      </c>
      <c r="J14" s="29" t="str">
        <f t="shared" si="1"/>
        <v/>
      </c>
      <c r="K14" s="29" t="str">
        <f t="shared" si="1"/>
        <v/>
      </c>
      <c r="L14" s="29" t="str">
        <f t="shared" si="1"/>
        <v/>
      </c>
      <c r="M14" s="29" t="str">
        <f t="shared" si="1"/>
        <v/>
      </c>
      <c r="N14" s="29" t="str">
        <f t="shared" si="1"/>
        <v/>
      </c>
      <c r="O14" s="29" t="str">
        <f t="shared" si="1"/>
        <v/>
      </c>
      <c r="P14" s="29" t="str">
        <f t="shared" si="1"/>
        <v/>
      </c>
      <c r="Q14" s="29" t="str">
        <f t="shared" si="1"/>
        <v/>
      </c>
      <c r="R14" s="29" t="str">
        <f t="shared" si="1"/>
        <v/>
      </c>
      <c r="S14" s="29" t="str">
        <f t="shared" si="1"/>
        <v/>
      </c>
      <c r="T14" s="29" t="str">
        <f t="shared" si="1"/>
        <v/>
      </c>
      <c r="U14" s="29" t="str">
        <f t="shared" si="1"/>
        <v/>
      </c>
      <c r="V14" s="29" t="str">
        <f t="shared" si="1"/>
        <v/>
      </c>
      <c r="W14" s="29" t="str">
        <f t="shared" si="1"/>
        <v/>
      </c>
      <c r="X14" s="29" t="str">
        <f t="shared" si="1"/>
        <v/>
      </c>
      <c r="Y14" s="29" t="str">
        <f t="shared" si="1"/>
        <v/>
      </c>
      <c r="Z14" s="29" t="str">
        <f t="shared" si="1"/>
        <v/>
      </c>
      <c r="AA14" s="26">
        <f>MAX(AA11:AA13)</f>
        <v>0</v>
      </c>
      <c r="AB14" s="26">
        <f>MAX(AB11:AB13)</f>
        <v>0</v>
      </c>
      <c r="AC14" s="26">
        <f>MAX(AC11:AC13)</f>
        <v>0</v>
      </c>
    </row>
    <row r="16" spans="2:45" hidden="1" outlineLevel="1" x14ac:dyDescent="0.2">
      <c r="B16" s="51" t="str">
        <f>"Indicative yield : " &amp;G32</f>
        <v xml:space="preserve">Indicative yield : 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3"/>
    </row>
    <row r="17" spans="1:32" hidden="1" outlineLevel="1" x14ac:dyDescent="0.2">
      <c r="B17" s="27" t="s">
        <v>0</v>
      </c>
      <c r="C17" s="28" t="str">
        <f t="array" ref="C17:Z17">TRANSPOSE($AB$30:$AB$53)</f>
        <v>BNP</v>
      </c>
      <c r="D17" s="28" t="str">
        <v>BBL</v>
      </c>
      <c r="E17" s="28" t="str">
        <v>KBANK</v>
      </c>
      <c r="F17" s="28" t="str">
        <v>TMB</v>
      </c>
      <c r="G17" s="28" t="str">
        <v>KTB</v>
      </c>
      <c r="H17" s="28" t="str">
        <v>CIMBT</v>
      </c>
      <c r="I17" s="28" t="str">
        <v>BAY</v>
      </c>
      <c r="J17" s="28" t="str">
        <v>SCB</v>
      </c>
      <c r="K17" s="28" t="str">
        <v>TBANK</v>
      </c>
      <c r="L17" s="28" t="str">
        <v>TISCOBANK</v>
      </c>
      <c r="M17" s="28" t="str">
        <v>SCBT</v>
      </c>
      <c r="N17" s="28" t="str">
        <v>HSBC</v>
      </c>
      <c r="O17" s="28" t="str">
        <v>CITIBANK</v>
      </c>
      <c r="P17" s="28" t="str">
        <v>KKP</v>
      </c>
      <c r="Q17" s="28" t="str">
        <v>UOBT</v>
      </c>
      <c r="R17" s="28" t="str">
        <v>GSB</v>
      </c>
      <c r="S17" s="28" t="str">
        <v>KGI</v>
      </c>
      <c r="T17" s="28" t="str">
        <v>BAML</v>
      </c>
      <c r="U17" s="28" t="str">
        <v>JP_MORGAN</v>
      </c>
      <c r="V17" s="28" t="str">
        <v>ANZT</v>
      </c>
      <c r="W17" s="28" t="str">
        <v>DEUTSCHE_BANK</v>
      </c>
      <c r="X17" s="28" t="str">
        <v>CNS</v>
      </c>
      <c r="Y17" s="28" t="str">
        <v>PHATRA</v>
      </c>
      <c r="Z17" s="28" t="str">
        <v>MBKET</v>
      </c>
      <c r="AA17" s="12" t="s">
        <v>6</v>
      </c>
      <c r="AB17" s="12" t="s">
        <v>7</v>
      </c>
      <c r="AC17" s="12" t="s">
        <v>8</v>
      </c>
      <c r="AD17" s="37">
        <f>G32</f>
        <v>0</v>
      </c>
    </row>
    <row r="18" spans="1:32" hidden="1" outlineLevel="1" x14ac:dyDescent="0.2">
      <c r="B18" s="27" t="s"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>
        <f>MIN(C18:Z18)</f>
        <v>0</v>
      </c>
      <c r="AB18" s="25">
        <f>MAX(C18:Z18)</f>
        <v>0</v>
      </c>
      <c r="AC18" s="25">
        <f>IFERROR(AVERAGE(C18:Z18),0)</f>
        <v>0</v>
      </c>
    </row>
    <row r="19" spans="1:32" hidden="1" outlineLevel="1" x14ac:dyDescent="0.2">
      <c r="B19" s="27" t="s">
        <v>2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>
        <f>MIN(C19:Z19)</f>
        <v>0</v>
      </c>
      <c r="AB19" s="25">
        <f>MAX(C19:Z19)</f>
        <v>0</v>
      </c>
      <c r="AC19" s="25">
        <f>IFERROR(AVERAGE(C19:Z19),0)</f>
        <v>0</v>
      </c>
    </row>
    <row r="20" spans="1:32" hidden="1" outlineLevel="1" x14ac:dyDescent="0.2">
      <c r="B20" s="27" t="s">
        <v>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25">
        <f>MIN(C20:Z20)</f>
        <v>0</v>
      </c>
      <c r="AB20" s="25">
        <f>MAX(C20:Z20)</f>
        <v>0</v>
      </c>
      <c r="AC20" s="25">
        <f>IFERROR(AVERAGE(C20:Z20),0)</f>
        <v>0</v>
      </c>
    </row>
    <row r="21" spans="1:32" hidden="1" outlineLevel="1" x14ac:dyDescent="0.2">
      <c r="B21" s="27" t="s">
        <v>8</v>
      </c>
      <c r="C21" s="29" t="str">
        <f t="shared" ref="C21:Z21" si="2">IFERROR(AVERAGE(C18:C20),"")</f>
        <v/>
      </c>
      <c r="D21" s="29" t="str">
        <f t="shared" si="2"/>
        <v/>
      </c>
      <c r="E21" s="29" t="str">
        <f t="shared" si="2"/>
        <v/>
      </c>
      <c r="F21" s="29" t="str">
        <f t="shared" si="2"/>
        <v/>
      </c>
      <c r="G21" s="29" t="str">
        <f t="shared" si="2"/>
        <v/>
      </c>
      <c r="H21" s="29" t="str">
        <f t="shared" si="2"/>
        <v/>
      </c>
      <c r="I21" s="29" t="str">
        <f t="shared" si="2"/>
        <v/>
      </c>
      <c r="J21" s="29" t="str">
        <f t="shared" si="2"/>
        <v/>
      </c>
      <c r="K21" s="29" t="str">
        <f t="shared" si="2"/>
        <v/>
      </c>
      <c r="L21" s="29" t="str">
        <f t="shared" si="2"/>
        <v/>
      </c>
      <c r="M21" s="29" t="str">
        <f t="shared" si="2"/>
        <v/>
      </c>
      <c r="N21" s="29" t="str">
        <f t="shared" si="2"/>
        <v/>
      </c>
      <c r="O21" s="29" t="str">
        <f t="shared" si="2"/>
        <v/>
      </c>
      <c r="P21" s="29" t="str">
        <f t="shared" si="2"/>
        <v/>
      </c>
      <c r="Q21" s="29" t="str">
        <f t="shared" si="2"/>
        <v/>
      </c>
      <c r="R21" s="29" t="str">
        <f t="shared" si="2"/>
        <v/>
      </c>
      <c r="S21" s="29" t="str">
        <f t="shared" si="2"/>
        <v/>
      </c>
      <c r="T21" s="29" t="str">
        <f t="shared" si="2"/>
        <v/>
      </c>
      <c r="U21" s="29" t="str">
        <f t="shared" si="2"/>
        <v/>
      </c>
      <c r="V21" s="29" t="str">
        <f t="shared" si="2"/>
        <v/>
      </c>
      <c r="W21" s="29" t="str">
        <f t="shared" si="2"/>
        <v/>
      </c>
      <c r="X21" s="29" t="str">
        <f t="shared" si="2"/>
        <v/>
      </c>
      <c r="Y21" s="29" t="str">
        <f t="shared" si="2"/>
        <v/>
      </c>
      <c r="Z21" s="29" t="str">
        <f t="shared" si="2"/>
        <v/>
      </c>
      <c r="AA21" s="26">
        <f>MAX(AA18:AA20)</f>
        <v>0</v>
      </c>
      <c r="AB21" s="26">
        <f>MAX(AB18:AB20)</f>
        <v>0</v>
      </c>
      <c r="AC21" s="26">
        <f>MAX(AC18:AC20)</f>
        <v>0</v>
      </c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32" t="str">
        <f>"Auction Simulation : "</f>
        <v xml:space="preserve">Auction Simulation : </v>
      </c>
      <c r="D28" s="17">
        <f>G32</f>
        <v>0</v>
      </c>
      <c r="G28" s="4" t="s">
        <v>22</v>
      </c>
      <c r="O28" s="38" t="str">
        <f>"Auction Excute : " &amp; G30</f>
        <v xml:space="preserve">Auction Excute : </v>
      </c>
      <c r="S28" s="4" t="s">
        <v>19</v>
      </c>
      <c r="W28" s="4" t="s">
        <v>54</v>
      </c>
    </row>
    <row r="29" spans="1:32" x14ac:dyDescent="0.2">
      <c r="A29" s="60">
        <f>MATCH($D$28,$AD$1:$AD$21,0)</f>
        <v>3</v>
      </c>
      <c r="B29" s="27" t="s">
        <v>17</v>
      </c>
      <c r="C29" s="27" t="s">
        <v>0</v>
      </c>
      <c r="D29" s="27" t="s">
        <v>4</v>
      </c>
      <c r="E29" s="27" t="s">
        <v>25</v>
      </c>
      <c r="G29" s="27" t="s">
        <v>26</v>
      </c>
      <c r="H29" s="27" t="s">
        <v>18</v>
      </c>
      <c r="I29" s="27" t="s">
        <v>23</v>
      </c>
      <c r="J29" s="27" t="s">
        <v>24</v>
      </c>
      <c r="K29" s="27" t="s">
        <v>52</v>
      </c>
      <c r="L29" s="27" t="s">
        <v>53</v>
      </c>
      <c r="M29" s="27" t="s">
        <v>63</v>
      </c>
      <c r="O29" s="33" t="s">
        <v>0</v>
      </c>
      <c r="P29" s="33" t="s">
        <v>4</v>
      </c>
      <c r="Q29" s="33" t="s">
        <v>25</v>
      </c>
      <c r="S29" s="33" t="s">
        <v>0</v>
      </c>
      <c r="T29" s="33" t="s">
        <v>4</v>
      </c>
      <c r="U29" s="33" t="s">
        <v>25</v>
      </c>
      <c r="W29" s="33" t="s">
        <v>5</v>
      </c>
      <c r="X29" s="33" t="s">
        <v>17</v>
      </c>
      <c r="Y29" s="33" t="s">
        <v>23</v>
      </c>
      <c r="Z29" s="33" t="s">
        <v>24</v>
      </c>
      <c r="AA29" s="33" t="s">
        <v>28</v>
      </c>
      <c r="AB29" s="33" t="s">
        <v>0</v>
      </c>
      <c r="AC29" s="33" t="s">
        <v>20</v>
      </c>
      <c r="AD29" s="33" t="s">
        <v>65</v>
      </c>
      <c r="AE29" s="33" t="s">
        <v>51</v>
      </c>
      <c r="AF29" s="33" t="s">
        <v>33</v>
      </c>
    </row>
    <row r="30" spans="1:32" x14ac:dyDescent="0.2">
      <c r="A30">
        <f t="shared" ref="A30:A53" si="3">MATCH(C30,$A$3:$Z$3,0)</f>
        <v>3</v>
      </c>
      <c r="B30" s="3">
        <f t="shared" ref="B30:B53" si="4">INDEX($X$30:$X$53,MATCH(C30,$AB$30:$AB$53,0))</f>
        <v>1</v>
      </c>
      <c r="C30" s="1" t="str">
        <f t="shared" ref="C30:C53" si="5">AB30</f>
        <v>BNP</v>
      </c>
      <c r="D30" s="34">
        <f t="shared" ref="D30:D53" si="6">IFERROR(IF(MATCH(C30,$A$57:$A$60,0)=1,$I$30*0.35,IF(MATCH(C30,$A$57:$A$60,0)=2,$I$30*0.3,IF(MATCH(C30,$A$57:$A$60,0)=3,$I$30*0.25,IF(MATCH(C30,$A$57:$A$60,0)=4,$I$30*0.1)))),0)</f>
        <v>0</v>
      </c>
      <c r="E30" s="29" t="str">
        <f ca="1">INDIRECT(ADDRESS($A$29+4,A30))</f>
        <v/>
      </c>
      <c r="G30" s="10"/>
      <c r="H30" s="58">
        <f>SUM(I30:L30)</f>
        <v>0</v>
      </c>
      <c r="I30" s="10"/>
      <c r="J30" s="10"/>
      <c r="K30" s="10"/>
      <c r="L30" s="10"/>
      <c r="M30" s="10"/>
      <c r="O30" s="30"/>
      <c r="P30" s="30"/>
      <c r="Q30" s="14"/>
      <c r="S30" s="2" t="str">
        <f>IF(ISBLANK(O30),"",O30)</f>
        <v/>
      </c>
      <c r="T30" s="30"/>
      <c r="U30" s="14"/>
      <c r="W30" s="44">
        <v>1</v>
      </c>
      <c r="X30" s="6">
        <v>1</v>
      </c>
      <c r="Y30" s="6">
        <v>1</v>
      </c>
      <c r="Z30" s="6">
        <v>1</v>
      </c>
      <c r="AA30" s="6">
        <f ca="1">IF(SUM(OFFSET(INDIRECT(ADDRESS($A$29,$A30)),1,0,3)) &gt; 0,1,0)</f>
        <v>0</v>
      </c>
      <c r="AB30" s="23" t="s">
        <v>13</v>
      </c>
      <c r="AC30" s="3">
        <f t="shared" ref="AC30:AC53" si="7">SUMIF($S$30:$S$64,AB30,$T$30:$T$64)</f>
        <v>0</v>
      </c>
      <c r="AD30" s="3">
        <f ca="1">INDIRECT("'"&amp;$A$55&amp;"'!"&amp;ADDRESS(ROW(),COLUMN()))+AC30</f>
        <v>0</v>
      </c>
      <c r="AE30" s="31">
        <f t="shared" ref="AE30:AE53" ca="1" si="8">AD30/$AD$54</f>
        <v>0</v>
      </c>
      <c r="AF30" s="19"/>
    </row>
    <row r="31" spans="1:32" x14ac:dyDescent="0.2">
      <c r="A31">
        <f t="shared" si="3"/>
        <v>4</v>
      </c>
      <c r="B31" s="3">
        <f t="shared" si="4"/>
        <v>2</v>
      </c>
      <c r="C31" s="1" t="str">
        <f t="shared" si="5"/>
        <v>BBL</v>
      </c>
      <c r="D31" s="34">
        <f t="shared" si="6"/>
        <v>0</v>
      </c>
      <c r="E31" s="29" t="str">
        <f ca="1">INDIRECT(ADDRESS($A$29+4,A31))</f>
        <v/>
      </c>
      <c r="G31" s="10"/>
      <c r="H31" s="58">
        <f t="shared" ref="H31:H32" si="9">SUM(I31:L31)</f>
        <v>0</v>
      </c>
      <c r="I31" s="10"/>
      <c r="J31" s="10"/>
      <c r="K31" s="10"/>
      <c r="L31" s="10"/>
      <c r="M31" s="10"/>
      <c r="O31" s="30"/>
      <c r="P31" s="30"/>
      <c r="Q31" s="30"/>
      <c r="S31" s="2" t="str">
        <f t="shared" ref="S31:S38" si="10">IF(ISBLANK(O31),"",O31)</f>
        <v/>
      </c>
      <c r="T31" s="30"/>
      <c r="U31" s="30"/>
      <c r="W31" s="44">
        <v>1</v>
      </c>
      <c r="X31" s="6">
        <v>2</v>
      </c>
      <c r="Y31" s="6">
        <v>1</v>
      </c>
      <c r="Z31" s="6">
        <v>0</v>
      </c>
      <c r="AA31" s="6">
        <f ca="1">IF(SUM(OFFSET(INDIRECT(ADDRESS($A$29,$A31)),1,0,3)) &gt; 0,1,0)</f>
        <v>0</v>
      </c>
      <c r="AB31" s="23" t="s">
        <v>11</v>
      </c>
      <c r="AC31" s="3">
        <f t="shared" si="7"/>
        <v>0</v>
      </c>
      <c r="AD31" s="3">
        <f t="shared" ref="AD31:AD53" ca="1" si="11">INDIRECT("'"&amp;$A$55&amp;"'!"&amp;ADDRESS(ROW(),COLUMN()))+AC31</f>
        <v>2400</v>
      </c>
      <c r="AE31" s="31">
        <f t="shared" ca="1" si="8"/>
        <v>0.13043478260869565</v>
      </c>
      <c r="AF31" s="20"/>
    </row>
    <row r="32" spans="1:32" x14ac:dyDescent="0.2">
      <c r="A32">
        <f t="shared" si="3"/>
        <v>5</v>
      </c>
      <c r="B32" s="3">
        <f t="shared" si="4"/>
        <v>3</v>
      </c>
      <c r="C32" s="1" t="str">
        <f t="shared" si="5"/>
        <v>KBANK</v>
      </c>
      <c r="D32" s="34">
        <f t="shared" si="6"/>
        <v>0</v>
      </c>
      <c r="E32" s="29" t="str">
        <f ca="1">INDIRECT(ADDRESS($A$29+4,A32))</f>
        <v/>
      </c>
      <c r="G32" s="10"/>
      <c r="H32" s="58">
        <f t="shared" si="9"/>
        <v>0</v>
      </c>
      <c r="I32" s="10"/>
      <c r="J32" s="10"/>
      <c r="K32" s="10"/>
      <c r="L32" s="10"/>
      <c r="M32" s="10"/>
      <c r="O32" s="30"/>
      <c r="P32" s="30"/>
      <c r="Q32" s="30"/>
      <c r="S32" s="2" t="str">
        <f t="shared" si="10"/>
        <v/>
      </c>
      <c r="T32" s="30"/>
      <c r="U32" s="30"/>
      <c r="W32" s="44">
        <v>1</v>
      </c>
      <c r="X32" s="6">
        <v>3</v>
      </c>
      <c r="Y32" s="6">
        <v>1</v>
      </c>
      <c r="Z32" s="6">
        <v>1</v>
      </c>
      <c r="AA32" s="6">
        <f ca="1">IF(SUM(OFFSET(INDIRECT(ADDRESS($A$29,$A32)),1,0,3)) &gt; 0,1,0)</f>
        <v>0</v>
      </c>
      <c r="AB32" s="23" t="s">
        <v>12</v>
      </c>
      <c r="AC32" s="3">
        <f t="shared" si="7"/>
        <v>0</v>
      </c>
      <c r="AD32" s="3">
        <f t="shared" ca="1" si="11"/>
        <v>6000</v>
      </c>
      <c r="AE32" s="21">
        <f t="shared" ca="1" si="8"/>
        <v>0.32608695652173914</v>
      </c>
      <c r="AF32" s="21">
        <f ca="1">SUMIF($W$30:$W$53,$W$32,$AD$30:$AD$53)/$AD$54</f>
        <v>0.45652173913043476</v>
      </c>
    </row>
    <row r="33" spans="1:32" x14ac:dyDescent="0.2">
      <c r="A33">
        <f t="shared" si="3"/>
        <v>6</v>
      </c>
      <c r="B33" s="3">
        <f t="shared" si="4"/>
        <v>4</v>
      </c>
      <c r="C33" s="1" t="str">
        <f t="shared" si="5"/>
        <v>TMB</v>
      </c>
      <c r="D33" s="34">
        <f t="shared" si="6"/>
        <v>0</v>
      </c>
      <c r="E33" s="29" t="str">
        <f ca="1">INDIRECT(ADDRESS($A$29+4,A33))</f>
        <v/>
      </c>
      <c r="G33" s="46"/>
      <c r="O33" s="30"/>
      <c r="P33" s="30"/>
      <c r="Q33" s="30"/>
      <c r="S33" s="2" t="str">
        <f t="shared" si="10"/>
        <v/>
      </c>
      <c r="T33" s="30"/>
      <c r="U33" s="30"/>
      <c r="W33" s="3">
        <v>2</v>
      </c>
      <c r="X33" s="6">
        <v>4</v>
      </c>
      <c r="Y33" s="6">
        <v>1</v>
      </c>
      <c r="Z33" s="6">
        <v>1</v>
      </c>
      <c r="AA33" s="6">
        <f ca="1">IF(SUM(OFFSET(INDIRECT(ADDRESS($A$29,$A33)),1,0,3)) &gt; 0,1,0)</f>
        <v>0</v>
      </c>
      <c r="AB33" s="23" t="s">
        <v>10</v>
      </c>
      <c r="AC33" s="3">
        <f t="shared" si="7"/>
        <v>0</v>
      </c>
      <c r="AD33" s="3">
        <f t="shared" ca="1" si="11"/>
        <v>0</v>
      </c>
      <c r="AE33" s="31">
        <f t="shared" ca="1" si="8"/>
        <v>0</v>
      </c>
      <c r="AF33" s="20"/>
    </row>
    <row r="34" spans="1:32" x14ac:dyDescent="0.2">
      <c r="A34">
        <f t="shared" si="3"/>
        <v>7</v>
      </c>
      <c r="B34" s="3">
        <f t="shared" si="4"/>
        <v>5</v>
      </c>
      <c r="C34" s="1" t="str">
        <f t="shared" si="5"/>
        <v>KTB</v>
      </c>
      <c r="D34" s="34">
        <f t="shared" si="6"/>
        <v>0</v>
      </c>
      <c r="E34" s="29" t="str">
        <f ca="1">INDIRECT(ADDRESS($A$29+4,A34))</f>
        <v/>
      </c>
      <c r="G34" s="47"/>
      <c r="O34" s="30"/>
      <c r="P34" s="30"/>
      <c r="Q34" s="30"/>
      <c r="S34" s="2" t="str">
        <f t="shared" si="10"/>
        <v/>
      </c>
      <c r="T34" s="30"/>
      <c r="U34" s="30"/>
      <c r="W34" s="3">
        <v>2</v>
      </c>
      <c r="X34" s="6">
        <v>5</v>
      </c>
      <c r="Y34" s="6">
        <v>1</v>
      </c>
      <c r="Z34" s="6">
        <v>0</v>
      </c>
      <c r="AA34" s="6">
        <f ca="1">IF(SUM(OFFSET(INDIRECT(ADDRESS($A$29,$A34)),1,0,3)) &gt; 0,1,0)</f>
        <v>0</v>
      </c>
      <c r="AB34" s="23" t="s">
        <v>14</v>
      </c>
      <c r="AC34" s="3">
        <f t="shared" si="7"/>
        <v>0</v>
      </c>
      <c r="AD34" s="3">
        <f t="shared" ca="1" si="11"/>
        <v>0</v>
      </c>
      <c r="AE34" s="31">
        <f t="shared" ca="1" si="8"/>
        <v>0</v>
      </c>
      <c r="AF34" s="20"/>
    </row>
    <row r="35" spans="1:32" x14ac:dyDescent="0.2">
      <c r="A35">
        <f t="shared" si="3"/>
        <v>8</v>
      </c>
      <c r="B35" s="3">
        <f t="shared" si="4"/>
        <v>6</v>
      </c>
      <c r="C35" s="1" t="str">
        <f t="shared" si="5"/>
        <v>CIMBT</v>
      </c>
      <c r="D35" s="34">
        <f t="shared" si="6"/>
        <v>0</v>
      </c>
      <c r="E35" s="29" t="str">
        <f ca="1">INDIRECT(ADDRESS($A$29+4,A35))</f>
        <v/>
      </c>
      <c r="G35" s="4" t="s">
        <v>64</v>
      </c>
      <c r="O35" s="30"/>
      <c r="P35" s="30"/>
      <c r="Q35" s="30"/>
      <c r="S35" s="2" t="str">
        <f t="shared" si="10"/>
        <v/>
      </c>
      <c r="T35" s="30"/>
      <c r="U35" s="30"/>
      <c r="W35" s="3">
        <v>2</v>
      </c>
      <c r="X35" s="6">
        <v>6</v>
      </c>
      <c r="Y35" s="6">
        <v>1</v>
      </c>
      <c r="Z35" s="6">
        <v>0</v>
      </c>
      <c r="AA35" s="6">
        <f ca="1">IF(SUM(OFFSET(INDIRECT(ADDRESS($A$29,$A35)),1,0,3)) &gt; 0,1,0)</f>
        <v>0</v>
      </c>
      <c r="AB35" s="23" t="s">
        <v>34</v>
      </c>
      <c r="AC35" s="3">
        <f t="shared" si="7"/>
        <v>0</v>
      </c>
      <c r="AD35" s="3">
        <f t="shared" ca="1" si="11"/>
        <v>0</v>
      </c>
      <c r="AE35" s="31">
        <f t="shared" ca="1" si="8"/>
        <v>0</v>
      </c>
      <c r="AF35" s="20"/>
    </row>
    <row r="36" spans="1:32" x14ac:dyDescent="0.2">
      <c r="A36">
        <f t="shared" si="3"/>
        <v>9</v>
      </c>
      <c r="B36" s="3">
        <f t="shared" si="4"/>
        <v>7</v>
      </c>
      <c r="C36" s="1" t="str">
        <f t="shared" si="5"/>
        <v>BAY</v>
      </c>
      <c r="D36" s="34">
        <f t="shared" si="6"/>
        <v>0</v>
      </c>
      <c r="E36" s="29" t="str">
        <f ca="1">INDIRECT(ADDRESS($A$29+4,A36))</f>
        <v/>
      </c>
      <c r="G36" s="27" t="s">
        <v>26</v>
      </c>
      <c r="H36" s="27" t="s">
        <v>66</v>
      </c>
      <c r="I36" s="27" t="s">
        <v>55</v>
      </c>
      <c r="J36" s="27" t="s">
        <v>56</v>
      </c>
      <c r="K36" s="27" t="s">
        <v>57</v>
      </c>
      <c r="L36" s="27" t="s">
        <v>67</v>
      </c>
      <c r="M36" s="27" t="s">
        <v>58</v>
      </c>
      <c r="O36" s="30"/>
      <c r="P36" s="30"/>
      <c r="Q36" s="30"/>
      <c r="S36" s="2" t="str">
        <f t="shared" si="10"/>
        <v/>
      </c>
      <c r="T36" s="30"/>
      <c r="U36" s="30"/>
      <c r="W36" s="3">
        <v>2</v>
      </c>
      <c r="X36" s="6">
        <v>7</v>
      </c>
      <c r="Y36" s="6">
        <v>1</v>
      </c>
      <c r="Z36" s="6">
        <v>0</v>
      </c>
      <c r="AA36" s="6">
        <f ca="1">IF(SUM(OFFSET(INDIRECT(ADDRESS($A$29,$A36)),1,0,3)) &gt; 0,1,0)</f>
        <v>0</v>
      </c>
      <c r="AB36" s="23" t="s">
        <v>35</v>
      </c>
      <c r="AC36" s="3">
        <f t="shared" si="7"/>
        <v>0</v>
      </c>
      <c r="AD36" s="3">
        <f t="shared" ca="1" si="11"/>
        <v>0</v>
      </c>
      <c r="AE36" s="31">
        <f t="shared" ca="1" si="8"/>
        <v>0</v>
      </c>
      <c r="AF36" s="20"/>
    </row>
    <row r="37" spans="1:32" ht="16.5" customHeight="1" x14ac:dyDescent="0.2">
      <c r="A37">
        <f t="shared" si="3"/>
        <v>10</v>
      </c>
      <c r="B37" s="3">
        <f t="shared" si="4"/>
        <v>8</v>
      </c>
      <c r="C37" s="1" t="str">
        <f t="shared" si="5"/>
        <v>SCB</v>
      </c>
      <c r="D37" s="34">
        <f t="shared" si="6"/>
        <v>0</v>
      </c>
      <c r="E37" s="29" t="str">
        <f ca="1">INDIRECT(ADDRESS($A$29+4,A37))</f>
        <v/>
      </c>
      <c r="G37" s="50" t="s">
        <v>27</v>
      </c>
      <c r="H37" s="48">
        <v>43369</v>
      </c>
      <c r="I37" s="29">
        <v>1.47</v>
      </c>
      <c r="J37" s="29">
        <v>1.47</v>
      </c>
      <c r="K37" s="29">
        <v>1.47</v>
      </c>
      <c r="L37" s="49">
        <v>0.36244199999999999</v>
      </c>
      <c r="M37" s="49">
        <v>0.26272899999999999</v>
      </c>
      <c r="O37" s="30"/>
      <c r="P37" s="30"/>
      <c r="Q37" s="30"/>
      <c r="S37" s="2" t="str">
        <f t="shared" si="10"/>
        <v/>
      </c>
      <c r="T37" s="30"/>
      <c r="U37" s="30"/>
      <c r="W37" s="3">
        <v>2</v>
      </c>
      <c r="X37" s="6">
        <v>8</v>
      </c>
      <c r="Y37" s="6">
        <v>1</v>
      </c>
      <c r="Z37" s="6">
        <v>0</v>
      </c>
      <c r="AA37" s="6">
        <f ca="1">IF(SUM(OFFSET(INDIRECT(ADDRESS($A$29,$A37)),1,0,3)) &gt; 0,1,0)</f>
        <v>0</v>
      </c>
      <c r="AB37" s="23" t="s">
        <v>9</v>
      </c>
      <c r="AC37" s="3">
        <f t="shared" si="7"/>
        <v>0</v>
      </c>
      <c r="AD37" s="3">
        <f t="shared" ca="1" si="11"/>
        <v>10000</v>
      </c>
      <c r="AE37" s="21">
        <f t="shared" ca="1" si="8"/>
        <v>0.54347826086956519</v>
      </c>
      <c r="AF37" s="21">
        <f ca="1">SUMIF($W$30:$W$53,$W$37,$AD$30:$AD$53)/$AD$54</f>
        <v>0.54347826086956519</v>
      </c>
    </row>
    <row r="38" spans="1:32" x14ac:dyDescent="0.2">
      <c r="A38">
        <f t="shared" si="3"/>
        <v>11</v>
      </c>
      <c r="B38" s="3">
        <f t="shared" si="4"/>
        <v>9</v>
      </c>
      <c r="C38" s="1" t="str">
        <f t="shared" si="5"/>
        <v>TBANK</v>
      </c>
      <c r="D38" s="34">
        <f t="shared" si="6"/>
        <v>0</v>
      </c>
      <c r="E38" s="29" t="str">
        <f ca="1">INDIRECT(ADDRESS($A$29+4,A38))</f>
        <v/>
      </c>
      <c r="G38" s="50" t="s">
        <v>59</v>
      </c>
      <c r="H38" s="48">
        <v>43369</v>
      </c>
      <c r="I38" s="29">
        <v>1.4950000000000001</v>
      </c>
      <c r="J38" s="29">
        <v>1.4950000000000001</v>
      </c>
      <c r="K38" s="29">
        <v>1.4950000000000001</v>
      </c>
      <c r="L38" s="49">
        <v>0.38137500000000002</v>
      </c>
      <c r="M38" s="49">
        <v>0.29089300000000001</v>
      </c>
      <c r="O38" s="30"/>
      <c r="P38" s="30"/>
      <c r="Q38" s="30"/>
      <c r="S38" s="2" t="str">
        <f t="shared" si="10"/>
        <v/>
      </c>
      <c r="T38" s="30"/>
      <c r="U38" s="30"/>
      <c r="W38" s="3">
        <v>3</v>
      </c>
      <c r="X38" s="6">
        <v>9</v>
      </c>
      <c r="Y38" s="6">
        <v>1</v>
      </c>
      <c r="Z38" s="6">
        <v>0</v>
      </c>
      <c r="AA38" s="6">
        <f ca="1">IF(SUM(OFFSET(INDIRECT(ADDRESS($A$29,$A38)),1,0,3)) &gt; 0,1,0)</f>
        <v>0</v>
      </c>
      <c r="AB38" s="23" t="s">
        <v>36</v>
      </c>
      <c r="AC38" s="3">
        <f t="shared" si="7"/>
        <v>0</v>
      </c>
      <c r="AD38" s="3">
        <f t="shared" ca="1" si="11"/>
        <v>0</v>
      </c>
      <c r="AE38" s="31">
        <f t="shared" ca="1" si="8"/>
        <v>0</v>
      </c>
      <c r="AF38" s="20"/>
    </row>
    <row r="39" spans="1:32" ht="15" thickBot="1" x14ac:dyDescent="0.25">
      <c r="A39">
        <f t="shared" si="3"/>
        <v>12</v>
      </c>
      <c r="B39" s="3">
        <f t="shared" si="4"/>
        <v>10</v>
      </c>
      <c r="C39" s="1" t="str">
        <f t="shared" si="5"/>
        <v>TISCOBANK</v>
      </c>
      <c r="D39" s="34">
        <f t="shared" si="6"/>
        <v>0</v>
      </c>
      <c r="E39" s="29" t="str">
        <f ca="1">INDIRECT(ADDRESS($A$29+4,A39))</f>
        <v/>
      </c>
      <c r="G39" s="50" t="s">
        <v>60</v>
      </c>
      <c r="H39" s="48">
        <v>43369</v>
      </c>
      <c r="I39" s="29">
        <v>1.5</v>
      </c>
      <c r="J39" s="29">
        <v>1.5</v>
      </c>
      <c r="K39" s="29">
        <v>1.5</v>
      </c>
      <c r="L39" s="49">
        <v>0.40032099999999998</v>
      </c>
      <c r="M39" s="49">
        <v>0.32051400000000002</v>
      </c>
      <c r="N39" s="57" t="s">
        <v>68</v>
      </c>
      <c r="O39" s="58">
        <f>H30-P39</f>
        <v>0</v>
      </c>
      <c r="P39" s="35">
        <f>SUM(P30:P38)</f>
        <v>0</v>
      </c>
      <c r="Q39" s="35">
        <f>IFERROR(AVERAGE(Q30:Q38),0)</f>
        <v>0</v>
      </c>
      <c r="R39" s="57" t="s">
        <v>69</v>
      </c>
      <c r="S39" s="58">
        <f>H30-T39</f>
        <v>0</v>
      </c>
      <c r="T39" s="35">
        <f>SUM(T30:T38)</f>
        <v>0</v>
      </c>
      <c r="U39" s="35">
        <f>SUM(U30:U38)</f>
        <v>0</v>
      </c>
      <c r="W39" s="3">
        <v>3</v>
      </c>
      <c r="X39" s="6">
        <v>10</v>
      </c>
      <c r="Y39" s="6">
        <v>1</v>
      </c>
      <c r="Z39" s="6">
        <v>0</v>
      </c>
      <c r="AA39" s="6">
        <f ca="1">IF(SUM(OFFSET(INDIRECT(ADDRESS($A$29,$A39)),1,0,3)) &gt; 0,1,0)</f>
        <v>0</v>
      </c>
      <c r="AB39" s="23" t="s">
        <v>37</v>
      </c>
      <c r="AC39" s="3">
        <f t="shared" si="7"/>
        <v>0</v>
      </c>
      <c r="AD39" s="3">
        <f t="shared" ca="1" si="11"/>
        <v>0</v>
      </c>
      <c r="AE39" s="31">
        <f t="shared" ca="1" si="8"/>
        <v>0</v>
      </c>
      <c r="AF39" s="20"/>
    </row>
    <row r="40" spans="1:32" ht="15" thickTop="1" x14ac:dyDescent="0.2">
      <c r="A40">
        <f t="shared" si="3"/>
        <v>13</v>
      </c>
      <c r="B40" s="3">
        <f t="shared" si="4"/>
        <v>11</v>
      </c>
      <c r="C40" s="1" t="str">
        <f t="shared" si="5"/>
        <v>SCBT</v>
      </c>
      <c r="D40" s="34">
        <f t="shared" si="6"/>
        <v>0</v>
      </c>
      <c r="E40" s="29" t="str">
        <f ca="1">INDIRECT(ADDRESS($A$29+4,A40))</f>
        <v/>
      </c>
      <c r="G40" s="50" t="s">
        <v>61</v>
      </c>
      <c r="H40" s="48">
        <v>43369</v>
      </c>
      <c r="I40" s="29">
        <v>1.52</v>
      </c>
      <c r="J40" s="29">
        <v>1.52</v>
      </c>
      <c r="K40" s="29">
        <v>1.52</v>
      </c>
      <c r="L40" s="49">
        <v>0.41922900000000002</v>
      </c>
      <c r="M40" s="49">
        <v>0.35150599999999999</v>
      </c>
      <c r="W40" s="3">
        <v>3</v>
      </c>
      <c r="X40" s="6">
        <v>11</v>
      </c>
      <c r="Y40" s="6">
        <v>1</v>
      </c>
      <c r="Z40" s="6">
        <v>0</v>
      </c>
      <c r="AA40" s="6">
        <f ca="1">IF(SUM(OFFSET(INDIRECT(ADDRESS($A$29,$A40)),1,0,3)) &gt; 0,1,0)</f>
        <v>0</v>
      </c>
      <c r="AB40" s="23" t="s">
        <v>38</v>
      </c>
      <c r="AC40" s="3">
        <f t="shared" si="7"/>
        <v>0</v>
      </c>
      <c r="AD40" s="3">
        <f t="shared" ca="1" si="11"/>
        <v>0</v>
      </c>
      <c r="AE40" s="31">
        <f t="shared" ca="1" si="8"/>
        <v>0</v>
      </c>
      <c r="AF40" s="20"/>
    </row>
    <row r="41" spans="1:32" x14ac:dyDescent="0.2">
      <c r="A41">
        <f t="shared" si="3"/>
        <v>14</v>
      </c>
      <c r="B41" s="3">
        <f t="shared" si="4"/>
        <v>12</v>
      </c>
      <c r="C41" s="1" t="str">
        <f t="shared" si="5"/>
        <v>HSBC</v>
      </c>
      <c r="D41" s="34">
        <f t="shared" si="6"/>
        <v>0</v>
      </c>
      <c r="E41" s="29" t="str">
        <f ca="1">INDIRECT(ADDRESS($A$29+4,A41))</f>
        <v/>
      </c>
      <c r="G41" s="50"/>
      <c r="H41" s="48"/>
      <c r="I41" s="29"/>
      <c r="J41" s="29"/>
      <c r="K41" s="29"/>
      <c r="L41" s="49"/>
      <c r="M41" s="49"/>
      <c r="O41" s="39" t="str">
        <f>"Auction Excute : " &amp;G31</f>
        <v xml:space="preserve">Auction Excute : </v>
      </c>
      <c r="S41" s="4" t="s">
        <v>19</v>
      </c>
      <c r="W41" s="3">
        <v>3</v>
      </c>
      <c r="X41" s="6">
        <v>12</v>
      </c>
      <c r="Y41" s="6">
        <v>1</v>
      </c>
      <c r="Z41" s="6">
        <v>0</v>
      </c>
      <c r="AA41" s="6">
        <f ca="1">IF(SUM(OFFSET(INDIRECT(ADDRESS($A$29,$A41)),1,0,3)) &gt; 0,1,0)</f>
        <v>0</v>
      </c>
      <c r="AB41" s="23" t="s">
        <v>16</v>
      </c>
      <c r="AC41" s="3">
        <f t="shared" si="7"/>
        <v>0</v>
      </c>
      <c r="AD41" s="3">
        <f t="shared" ca="1" si="11"/>
        <v>0</v>
      </c>
      <c r="AE41" s="31">
        <f t="shared" ca="1" si="8"/>
        <v>0</v>
      </c>
      <c r="AF41" s="20"/>
    </row>
    <row r="42" spans="1:32" x14ac:dyDescent="0.2">
      <c r="A42">
        <f t="shared" si="3"/>
        <v>15</v>
      </c>
      <c r="B42" s="3">
        <f t="shared" si="4"/>
        <v>13</v>
      </c>
      <c r="C42" s="1" t="str">
        <f t="shared" si="5"/>
        <v>CITIBANK</v>
      </c>
      <c r="D42" s="34">
        <f t="shared" si="6"/>
        <v>0</v>
      </c>
      <c r="E42" s="29" t="str">
        <f ca="1">INDIRECT(ADDRESS($A$29+4,A42))</f>
        <v/>
      </c>
      <c r="G42" s="50"/>
      <c r="H42" s="48"/>
      <c r="I42" s="29"/>
      <c r="J42" s="29"/>
      <c r="K42" s="29"/>
      <c r="L42" s="49"/>
      <c r="M42" s="49"/>
      <c r="O42" s="33" t="s">
        <v>0</v>
      </c>
      <c r="P42" s="33" t="s">
        <v>4</v>
      </c>
      <c r="Q42" s="33" t="s">
        <v>25</v>
      </c>
      <c r="S42" s="33" t="s">
        <v>0</v>
      </c>
      <c r="T42" s="33" t="s">
        <v>4</v>
      </c>
      <c r="U42" s="33" t="s">
        <v>25</v>
      </c>
      <c r="W42" s="3">
        <v>3</v>
      </c>
      <c r="X42" s="6">
        <v>13</v>
      </c>
      <c r="Y42" s="6">
        <v>1</v>
      </c>
      <c r="Z42" s="6">
        <v>0</v>
      </c>
      <c r="AA42" s="6">
        <f ca="1">IF(SUM(OFFSET(INDIRECT(ADDRESS($A$29,$A42)),1,0,3)) &gt; 0,1,0)</f>
        <v>0</v>
      </c>
      <c r="AB42" s="23" t="s">
        <v>39</v>
      </c>
      <c r="AC42" s="3">
        <f t="shared" si="7"/>
        <v>0</v>
      </c>
      <c r="AD42" s="3">
        <f t="shared" ca="1" si="11"/>
        <v>0</v>
      </c>
      <c r="AE42" s="31">
        <f t="shared" ca="1" si="8"/>
        <v>0</v>
      </c>
      <c r="AF42" s="20"/>
    </row>
    <row r="43" spans="1:32" x14ac:dyDescent="0.2">
      <c r="A43">
        <f t="shared" si="3"/>
        <v>16</v>
      </c>
      <c r="B43" s="3">
        <f t="shared" si="4"/>
        <v>14</v>
      </c>
      <c r="C43" s="1" t="str">
        <f t="shared" si="5"/>
        <v>KKP</v>
      </c>
      <c r="D43" s="34">
        <f t="shared" si="6"/>
        <v>0</v>
      </c>
      <c r="E43" s="29" t="str">
        <f ca="1">INDIRECT(ADDRESS($A$29+4,A43))</f>
        <v/>
      </c>
      <c r="G43" s="50"/>
      <c r="H43" s="48"/>
      <c r="I43" s="29"/>
      <c r="J43" s="29"/>
      <c r="K43" s="29"/>
      <c r="L43" s="49"/>
      <c r="M43" s="49"/>
      <c r="O43" s="30"/>
      <c r="P43" s="30"/>
      <c r="Q43" s="14"/>
      <c r="S43" s="2" t="str">
        <f>IF(ISBLANK(O43),"",O43)</f>
        <v/>
      </c>
      <c r="T43" s="30"/>
      <c r="U43" s="14"/>
      <c r="W43" s="3">
        <v>3</v>
      </c>
      <c r="X43" s="6">
        <v>14</v>
      </c>
      <c r="Y43" s="6">
        <v>1</v>
      </c>
      <c r="Z43" s="6">
        <v>0</v>
      </c>
      <c r="AA43" s="6">
        <f ca="1">IF(SUM(OFFSET(INDIRECT(ADDRESS($A$29,$A43)),1,0,3)) &gt; 0,1,0)</f>
        <v>0</v>
      </c>
      <c r="AB43" s="23" t="s">
        <v>40</v>
      </c>
      <c r="AC43" s="3">
        <f t="shared" si="7"/>
        <v>0</v>
      </c>
      <c r="AD43" s="3">
        <f t="shared" ca="1" si="11"/>
        <v>0</v>
      </c>
      <c r="AE43" s="31">
        <f t="shared" ca="1" si="8"/>
        <v>0</v>
      </c>
      <c r="AF43" s="20"/>
    </row>
    <row r="44" spans="1:32" x14ac:dyDescent="0.2">
      <c r="A44">
        <f t="shared" si="3"/>
        <v>17</v>
      </c>
      <c r="B44" s="3">
        <f t="shared" si="4"/>
        <v>15</v>
      </c>
      <c r="C44" s="1" t="str">
        <f t="shared" si="5"/>
        <v>UOBT</v>
      </c>
      <c r="D44" s="34">
        <f t="shared" si="6"/>
        <v>0</v>
      </c>
      <c r="E44" s="29" t="str">
        <f ca="1">INDIRECT(ADDRESS($A$29+4,A44))</f>
        <v/>
      </c>
      <c r="G44" s="50"/>
      <c r="H44" s="48"/>
      <c r="I44" s="29"/>
      <c r="J44" s="29"/>
      <c r="K44" s="29"/>
      <c r="L44" s="49"/>
      <c r="M44" s="49"/>
      <c r="O44" s="30"/>
      <c r="P44" s="30"/>
      <c r="Q44" s="30"/>
      <c r="S44" s="2" t="str">
        <f t="shared" ref="S44:S51" si="12">IF(ISBLANK(O44),"",O44)</f>
        <v/>
      </c>
      <c r="T44" s="30"/>
      <c r="U44" s="30"/>
      <c r="W44" s="3">
        <v>3</v>
      </c>
      <c r="X44" s="6">
        <v>15</v>
      </c>
      <c r="Y44" s="6">
        <v>1</v>
      </c>
      <c r="Z44" s="6">
        <v>0</v>
      </c>
      <c r="AA44" s="6">
        <f ca="1">IF(SUM(OFFSET(INDIRECT(ADDRESS($A$29,$A44)),1,0,3)) &gt; 0,1,0)</f>
        <v>0</v>
      </c>
      <c r="AB44" s="23" t="s">
        <v>41</v>
      </c>
      <c r="AC44" s="3">
        <f t="shared" si="7"/>
        <v>0</v>
      </c>
      <c r="AD44" s="3">
        <f t="shared" ca="1" si="11"/>
        <v>0</v>
      </c>
      <c r="AE44" s="31">
        <f t="shared" ca="1" si="8"/>
        <v>0</v>
      </c>
      <c r="AF44" s="20"/>
    </row>
    <row r="45" spans="1:32" x14ac:dyDescent="0.2">
      <c r="A45">
        <f t="shared" si="3"/>
        <v>18</v>
      </c>
      <c r="B45" s="3">
        <f t="shared" si="4"/>
        <v>16</v>
      </c>
      <c r="C45" s="1" t="str">
        <f t="shared" si="5"/>
        <v>GSB</v>
      </c>
      <c r="D45" s="34">
        <f t="shared" si="6"/>
        <v>0</v>
      </c>
      <c r="E45" s="29" t="str">
        <f ca="1">INDIRECT(ADDRESS($A$29+4,A45))</f>
        <v/>
      </c>
      <c r="G45" s="50"/>
      <c r="H45" s="48"/>
      <c r="I45" s="29"/>
      <c r="J45" s="29"/>
      <c r="K45" s="29"/>
      <c r="L45" s="49"/>
      <c r="M45" s="49"/>
      <c r="O45" s="30"/>
      <c r="P45" s="30"/>
      <c r="Q45" s="30"/>
      <c r="S45" s="2" t="str">
        <f t="shared" si="12"/>
        <v/>
      </c>
      <c r="T45" s="30"/>
      <c r="U45" s="30"/>
      <c r="W45" s="3">
        <v>3</v>
      </c>
      <c r="X45" s="6">
        <v>16</v>
      </c>
      <c r="Y45" s="6">
        <v>1</v>
      </c>
      <c r="Z45" s="6">
        <v>0</v>
      </c>
      <c r="AA45" s="6">
        <f ca="1">IF(SUM(OFFSET(INDIRECT(ADDRESS($A$29,$A45)),1,0,3)) &gt; 0,1,0)</f>
        <v>0</v>
      </c>
      <c r="AB45" s="23" t="s">
        <v>15</v>
      </c>
      <c r="AC45" s="3">
        <f t="shared" si="7"/>
        <v>0</v>
      </c>
      <c r="AD45" s="3">
        <f t="shared" ca="1" si="11"/>
        <v>0</v>
      </c>
      <c r="AE45" s="31">
        <f t="shared" ca="1" si="8"/>
        <v>0</v>
      </c>
      <c r="AF45" s="20"/>
    </row>
    <row r="46" spans="1:32" x14ac:dyDescent="0.2">
      <c r="A46">
        <f t="shared" si="3"/>
        <v>19</v>
      </c>
      <c r="B46" s="3">
        <f t="shared" si="4"/>
        <v>17</v>
      </c>
      <c r="C46" s="1" t="str">
        <f t="shared" si="5"/>
        <v>KGI</v>
      </c>
      <c r="D46" s="34">
        <f t="shared" si="6"/>
        <v>0</v>
      </c>
      <c r="E46" s="29" t="str">
        <f ca="1">INDIRECT(ADDRESS($A$29+4,A46))</f>
        <v/>
      </c>
      <c r="G46" s="50"/>
      <c r="H46" s="48"/>
      <c r="I46" s="29"/>
      <c r="J46" s="29"/>
      <c r="K46" s="29"/>
      <c r="L46" s="49"/>
      <c r="M46" s="49"/>
      <c r="O46" s="30"/>
      <c r="P46" s="30"/>
      <c r="Q46" s="30"/>
      <c r="S46" s="2" t="str">
        <f t="shared" si="12"/>
        <v/>
      </c>
      <c r="T46" s="30"/>
      <c r="U46" s="30"/>
      <c r="W46" s="3">
        <v>3</v>
      </c>
      <c r="X46" s="6">
        <v>17</v>
      </c>
      <c r="Y46" s="6">
        <v>1</v>
      </c>
      <c r="Z46" s="6">
        <v>0</v>
      </c>
      <c r="AA46" s="6">
        <f ca="1">IF(SUM(OFFSET(INDIRECT(ADDRESS($A$29,$A46)),1,0,3)) &gt; 0,1,0)</f>
        <v>0</v>
      </c>
      <c r="AB46" s="23" t="s">
        <v>42</v>
      </c>
      <c r="AC46" s="3">
        <f t="shared" si="7"/>
        <v>0</v>
      </c>
      <c r="AD46" s="3">
        <f t="shared" ca="1" si="11"/>
        <v>0</v>
      </c>
      <c r="AE46" s="31">
        <f t="shared" ca="1" si="8"/>
        <v>0</v>
      </c>
      <c r="AF46" s="20"/>
    </row>
    <row r="47" spans="1:32" x14ac:dyDescent="0.2">
      <c r="A47">
        <f t="shared" si="3"/>
        <v>20</v>
      </c>
      <c r="B47" s="3">
        <f t="shared" si="4"/>
        <v>18</v>
      </c>
      <c r="C47" s="1" t="str">
        <f t="shared" si="5"/>
        <v>BAML</v>
      </c>
      <c r="D47" s="34">
        <f t="shared" si="6"/>
        <v>0</v>
      </c>
      <c r="E47" s="29" t="str">
        <f ca="1">INDIRECT(ADDRESS($A$29+4,A47))</f>
        <v/>
      </c>
      <c r="G47" s="50"/>
      <c r="H47" s="48"/>
      <c r="I47" s="29"/>
      <c r="J47" s="29"/>
      <c r="K47" s="29"/>
      <c r="L47" s="49"/>
      <c r="M47" s="49"/>
      <c r="O47" s="30"/>
      <c r="P47" s="30"/>
      <c r="Q47" s="30"/>
      <c r="S47" s="2" t="str">
        <f t="shared" si="12"/>
        <v/>
      </c>
      <c r="T47" s="30"/>
      <c r="U47" s="30"/>
      <c r="W47" s="3">
        <v>3</v>
      </c>
      <c r="X47" s="6">
        <v>18</v>
      </c>
      <c r="Y47" s="6">
        <v>1</v>
      </c>
      <c r="Z47" s="6">
        <v>0</v>
      </c>
      <c r="AA47" s="6">
        <f ca="1">IF(SUM(OFFSET(INDIRECT(ADDRESS($A$29,$A47)),1,0,3)) &gt; 0,1,0)</f>
        <v>0</v>
      </c>
      <c r="AB47" s="23" t="s">
        <v>43</v>
      </c>
      <c r="AC47" s="3">
        <f t="shared" si="7"/>
        <v>0</v>
      </c>
      <c r="AD47" s="3">
        <f t="shared" ca="1" si="11"/>
        <v>0</v>
      </c>
      <c r="AE47" s="31">
        <f t="shared" ca="1" si="8"/>
        <v>0</v>
      </c>
      <c r="AF47" s="20"/>
    </row>
    <row r="48" spans="1:32" x14ac:dyDescent="0.2">
      <c r="A48">
        <f t="shared" si="3"/>
        <v>21</v>
      </c>
      <c r="B48" s="3">
        <f t="shared" si="4"/>
        <v>19</v>
      </c>
      <c r="C48" s="1" t="str">
        <f t="shared" si="5"/>
        <v>JP_MORGAN</v>
      </c>
      <c r="D48" s="34">
        <f t="shared" si="6"/>
        <v>0</v>
      </c>
      <c r="E48" s="29" t="str">
        <f ca="1">INDIRECT(ADDRESS($A$29+4,A48))</f>
        <v/>
      </c>
      <c r="G48" s="50"/>
      <c r="H48" s="48"/>
      <c r="I48" s="29"/>
      <c r="J48" s="29"/>
      <c r="K48" s="29"/>
      <c r="L48" s="49"/>
      <c r="M48" s="49"/>
      <c r="O48" s="30"/>
      <c r="P48" s="30"/>
      <c r="Q48" s="30"/>
      <c r="S48" s="2" t="str">
        <f t="shared" si="12"/>
        <v/>
      </c>
      <c r="T48" s="30"/>
      <c r="U48" s="30"/>
      <c r="W48" s="3">
        <v>3</v>
      </c>
      <c r="X48" s="6">
        <v>19</v>
      </c>
      <c r="Y48" s="6">
        <v>1</v>
      </c>
      <c r="Z48" s="6">
        <v>0</v>
      </c>
      <c r="AA48" s="6">
        <f ca="1">IF(SUM(OFFSET(INDIRECT(ADDRESS($A$29,$A48)),1,0,3)) &gt; 0,1,0)</f>
        <v>0</v>
      </c>
      <c r="AB48" s="23" t="s">
        <v>44</v>
      </c>
      <c r="AC48" s="3">
        <f t="shared" si="7"/>
        <v>0</v>
      </c>
      <c r="AD48" s="3">
        <f t="shared" ca="1" si="11"/>
        <v>0</v>
      </c>
      <c r="AE48" s="31">
        <f t="shared" ca="1" si="8"/>
        <v>0</v>
      </c>
      <c r="AF48" s="20"/>
    </row>
    <row r="49" spans="1:32" x14ac:dyDescent="0.2">
      <c r="A49">
        <f t="shared" si="3"/>
        <v>22</v>
      </c>
      <c r="B49" s="3">
        <f t="shared" si="4"/>
        <v>20</v>
      </c>
      <c r="C49" s="1" t="str">
        <f t="shared" si="5"/>
        <v>ANZT</v>
      </c>
      <c r="D49" s="34">
        <f t="shared" si="6"/>
        <v>0</v>
      </c>
      <c r="E49" s="29" t="str">
        <f ca="1">INDIRECT(ADDRESS($A$29+4,A49))</f>
        <v/>
      </c>
      <c r="G49" s="50"/>
      <c r="H49" s="48"/>
      <c r="I49" s="29"/>
      <c r="J49" s="29"/>
      <c r="K49" s="29"/>
      <c r="L49" s="49"/>
      <c r="M49" s="49"/>
      <c r="O49" s="30"/>
      <c r="P49" s="30"/>
      <c r="Q49" s="30"/>
      <c r="S49" s="2" t="str">
        <f t="shared" si="12"/>
        <v/>
      </c>
      <c r="T49" s="30"/>
      <c r="U49" s="30"/>
      <c r="W49" s="3">
        <v>3</v>
      </c>
      <c r="X49" s="6">
        <v>20</v>
      </c>
      <c r="Y49" s="6">
        <v>1</v>
      </c>
      <c r="Z49" s="6">
        <v>0</v>
      </c>
      <c r="AA49" s="6">
        <f ca="1">IF(SUM(OFFSET(INDIRECT(ADDRESS($A$29,$A49)),1,0,3)) &gt; 0,1,0)</f>
        <v>0</v>
      </c>
      <c r="AB49" s="23" t="s">
        <v>45</v>
      </c>
      <c r="AC49" s="3">
        <f t="shared" si="7"/>
        <v>0</v>
      </c>
      <c r="AD49" s="3">
        <f t="shared" ca="1" si="11"/>
        <v>0</v>
      </c>
      <c r="AE49" s="31">
        <f t="shared" ca="1" si="8"/>
        <v>0</v>
      </c>
      <c r="AF49" s="20"/>
    </row>
    <row r="50" spans="1:32" x14ac:dyDescent="0.2">
      <c r="A50">
        <f t="shared" si="3"/>
        <v>23</v>
      </c>
      <c r="B50" s="3">
        <f t="shared" si="4"/>
        <v>21</v>
      </c>
      <c r="C50" s="1" t="str">
        <f t="shared" si="5"/>
        <v>DEUTSCHE_BANK</v>
      </c>
      <c r="D50" s="34">
        <f t="shared" si="6"/>
        <v>0</v>
      </c>
      <c r="E50" s="29" t="str">
        <f ca="1">INDIRECT(ADDRESS($A$29+4,A50))</f>
        <v/>
      </c>
      <c r="G50" s="50"/>
      <c r="H50" s="48"/>
      <c r="I50" s="29"/>
      <c r="J50" s="29"/>
      <c r="K50" s="29"/>
      <c r="L50" s="49"/>
      <c r="M50" s="49"/>
      <c r="O50" s="30"/>
      <c r="P50" s="30"/>
      <c r="Q50" s="30"/>
      <c r="S50" s="2" t="str">
        <f t="shared" si="12"/>
        <v/>
      </c>
      <c r="T50" s="30"/>
      <c r="U50" s="30"/>
      <c r="W50" s="3">
        <v>3</v>
      </c>
      <c r="X50" s="6">
        <v>21</v>
      </c>
      <c r="Y50" s="6">
        <v>1</v>
      </c>
      <c r="Z50" s="6">
        <v>0</v>
      </c>
      <c r="AA50" s="6">
        <f ca="1">IF(SUM(OFFSET(INDIRECT(ADDRESS($A$29,$A50)),1,0,3)) &gt; 0,1,0)</f>
        <v>0</v>
      </c>
      <c r="AB50" s="23" t="s">
        <v>46</v>
      </c>
      <c r="AC50" s="3">
        <f t="shared" si="7"/>
        <v>0</v>
      </c>
      <c r="AD50" s="3">
        <f t="shared" ca="1" si="11"/>
        <v>0</v>
      </c>
      <c r="AE50" s="31">
        <f t="shared" ca="1" si="8"/>
        <v>0</v>
      </c>
      <c r="AF50" s="20"/>
    </row>
    <row r="51" spans="1:32" x14ac:dyDescent="0.2">
      <c r="A51">
        <f t="shared" si="3"/>
        <v>24</v>
      </c>
      <c r="B51" s="3">
        <f t="shared" si="4"/>
        <v>22</v>
      </c>
      <c r="C51" s="1" t="str">
        <f t="shared" si="5"/>
        <v>CNS</v>
      </c>
      <c r="D51" s="34">
        <f t="shared" si="6"/>
        <v>0</v>
      </c>
      <c r="E51" s="29" t="str">
        <f ca="1">INDIRECT(ADDRESS($A$29+4,A51))</f>
        <v/>
      </c>
      <c r="O51" s="30"/>
      <c r="P51" s="30"/>
      <c r="Q51" s="30"/>
      <c r="S51" s="2" t="str">
        <f t="shared" si="12"/>
        <v/>
      </c>
      <c r="T51" s="30"/>
      <c r="U51" s="30"/>
      <c r="W51" s="3">
        <v>3</v>
      </c>
      <c r="X51" s="6">
        <v>22</v>
      </c>
      <c r="Y51" s="6">
        <v>1</v>
      </c>
      <c r="Z51" s="6">
        <v>0</v>
      </c>
      <c r="AA51" s="6">
        <f ca="1">IF(SUM(OFFSET(INDIRECT(ADDRESS($A$29,$A51)),1,0,3)) &gt; 0,1,0)</f>
        <v>0</v>
      </c>
      <c r="AB51" s="23" t="s">
        <v>47</v>
      </c>
      <c r="AC51" s="3">
        <f t="shared" si="7"/>
        <v>0</v>
      </c>
      <c r="AD51" s="3">
        <f t="shared" ca="1" si="11"/>
        <v>0</v>
      </c>
      <c r="AE51" s="31">
        <f t="shared" ca="1" si="8"/>
        <v>0</v>
      </c>
      <c r="AF51" s="20"/>
    </row>
    <row r="52" spans="1:32" ht="15" thickBot="1" x14ac:dyDescent="0.25">
      <c r="A52">
        <f t="shared" si="3"/>
        <v>25</v>
      </c>
      <c r="B52" s="3">
        <f t="shared" si="4"/>
        <v>23</v>
      </c>
      <c r="C52" s="1" t="str">
        <f t="shared" si="5"/>
        <v>PHATRA</v>
      </c>
      <c r="D52" s="34">
        <f t="shared" si="6"/>
        <v>0</v>
      </c>
      <c r="E52" s="29" t="str">
        <f ca="1">INDIRECT(ADDRESS($A$29+4,A52))</f>
        <v/>
      </c>
      <c r="N52" s="57" t="s">
        <v>68</v>
      </c>
      <c r="O52" s="58">
        <f>H31-P52</f>
        <v>0</v>
      </c>
      <c r="P52" s="35">
        <f>SUM(P43:P51)</f>
        <v>0</v>
      </c>
      <c r="Q52" s="35">
        <f>SUM(Q43:Q51)</f>
        <v>0</v>
      </c>
      <c r="R52" s="57" t="s">
        <v>69</v>
      </c>
      <c r="S52" s="58">
        <f>H31-T52</f>
        <v>0</v>
      </c>
      <c r="T52" s="35">
        <f>SUM(T43:T51)</f>
        <v>0</v>
      </c>
      <c r="U52" s="35">
        <f>SUM(U43:U51)</f>
        <v>0</v>
      </c>
      <c r="W52" s="3">
        <v>3</v>
      </c>
      <c r="X52" s="6">
        <v>23</v>
      </c>
      <c r="Y52" s="6">
        <v>1</v>
      </c>
      <c r="Z52" s="6">
        <v>0</v>
      </c>
      <c r="AA52" s="6">
        <f ca="1">IF(SUM(OFFSET(INDIRECT(ADDRESS($A$29,$A52)),1,0,3)) &gt; 0,1,0)</f>
        <v>0</v>
      </c>
      <c r="AB52" s="23" t="s">
        <v>48</v>
      </c>
      <c r="AC52" s="3">
        <f t="shared" si="7"/>
        <v>0</v>
      </c>
      <c r="AD52" s="3">
        <f t="shared" ca="1" si="11"/>
        <v>0</v>
      </c>
      <c r="AE52" s="31">
        <f t="shared" ca="1" si="8"/>
        <v>0</v>
      </c>
      <c r="AF52" s="20"/>
    </row>
    <row r="53" spans="1:32" ht="15" thickTop="1" x14ac:dyDescent="0.2">
      <c r="A53">
        <f t="shared" si="3"/>
        <v>26</v>
      </c>
      <c r="B53" s="3">
        <f t="shared" si="4"/>
        <v>24</v>
      </c>
      <c r="C53" s="1" t="str">
        <f t="shared" si="5"/>
        <v>MBKET</v>
      </c>
      <c r="D53" s="34">
        <f t="shared" si="6"/>
        <v>0</v>
      </c>
      <c r="E53" s="29" t="str">
        <f ca="1">INDIRECT(ADDRESS($A$29+4,A53))</f>
        <v/>
      </c>
      <c r="W53" s="3">
        <v>3</v>
      </c>
      <c r="X53" s="6">
        <v>24</v>
      </c>
      <c r="Y53" s="6">
        <v>1</v>
      </c>
      <c r="Z53" s="6">
        <v>0</v>
      </c>
      <c r="AA53" s="6">
        <f ca="1">IF(SUM(OFFSET(INDIRECT(ADDRESS($A$29,$A53)),1,0,3)) &gt; 0,1,0)</f>
        <v>0</v>
      </c>
      <c r="AB53" s="23" t="s">
        <v>49</v>
      </c>
      <c r="AC53" s="3">
        <f t="shared" si="7"/>
        <v>0</v>
      </c>
      <c r="AD53" s="3">
        <f t="shared" ca="1" si="11"/>
        <v>0</v>
      </c>
      <c r="AE53" s="21">
        <f t="shared" ca="1" si="8"/>
        <v>0</v>
      </c>
      <c r="AF53" s="21">
        <f ca="1">SUMIF($W$30:$W$53,$W$53,$AD$30:$AD$53)/$AD$54</f>
        <v>0</v>
      </c>
    </row>
    <row r="54" spans="1:32" ht="15" thickBot="1" x14ac:dyDescent="0.25">
      <c r="D54" s="35">
        <f>SUM(D30:D53)</f>
        <v>0</v>
      </c>
      <c r="E54" s="36" t="str">
        <f ca="1">IFERROR(AVERAGE(E30:E53),"")</f>
        <v/>
      </c>
      <c r="O54" s="40" t="str">
        <f>"Auction Excute : " &amp;G32</f>
        <v xml:space="preserve">Auction Excute : </v>
      </c>
      <c r="S54" s="4" t="s">
        <v>19</v>
      </c>
      <c r="AB54" s="8" t="s">
        <v>18</v>
      </c>
      <c r="AC54" s="9">
        <f>SUM(AC30:AC53)</f>
        <v>0</v>
      </c>
      <c r="AD54" s="22">
        <f ca="1">SUM(AD30:AD53)</f>
        <v>18400</v>
      </c>
    </row>
    <row r="55" spans="1:32" ht="15" thickTop="1" x14ac:dyDescent="0.2">
      <c r="A55" s="63" t="s">
        <v>73</v>
      </c>
      <c r="G55" s="4" t="s">
        <v>70</v>
      </c>
      <c r="J55" s="54" t="s">
        <v>25</v>
      </c>
      <c r="K55" s="55"/>
      <c r="L55" s="56"/>
      <c r="O55" s="33" t="s">
        <v>0</v>
      </c>
      <c r="P55" s="33" t="s">
        <v>4</v>
      </c>
      <c r="Q55" s="33" t="s">
        <v>25</v>
      </c>
      <c r="S55" s="33" t="s">
        <v>0</v>
      </c>
      <c r="T55" s="33" t="s">
        <v>4</v>
      </c>
      <c r="U55" s="33" t="s">
        <v>25</v>
      </c>
    </row>
    <row r="56" spans="1:32" x14ac:dyDescent="0.2">
      <c r="B56" s="4" t="s">
        <v>29</v>
      </c>
      <c r="G56" s="33" t="s">
        <v>26</v>
      </c>
      <c r="H56" s="45" t="s">
        <v>18</v>
      </c>
      <c r="I56" s="45" t="s">
        <v>21</v>
      </c>
      <c r="J56" s="33" t="s">
        <v>6</v>
      </c>
      <c r="K56" s="33" t="s">
        <v>7</v>
      </c>
      <c r="L56" s="33" t="s">
        <v>8</v>
      </c>
      <c r="O56" s="30"/>
      <c r="P56" s="30"/>
      <c r="Q56" s="14"/>
      <c r="S56" s="2" t="str">
        <f>IF(ISBLANK(O56),"",O56)</f>
        <v/>
      </c>
      <c r="T56" s="30"/>
      <c r="U56" s="14"/>
    </row>
    <row r="57" spans="1:32" x14ac:dyDescent="0.2">
      <c r="B57" t="s">
        <v>30</v>
      </c>
      <c r="C57" s="11">
        <v>1</v>
      </c>
      <c r="G57" s="41">
        <f>G30</f>
        <v>0</v>
      </c>
      <c r="H57" s="14"/>
      <c r="I57" s="14"/>
      <c r="J57" s="14"/>
      <c r="K57" s="14"/>
      <c r="L57" s="14"/>
      <c r="O57" s="30"/>
      <c r="P57" s="30"/>
      <c r="Q57" s="30"/>
      <c r="S57" s="2" t="str">
        <f t="shared" ref="S57:S64" si="13">IF(ISBLANK(O57),"",O57)</f>
        <v/>
      </c>
      <c r="T57" s="30"/>
      <c r="U57" s="30"/>
    </row>
    <row r="58" spans="1:32" x14ac:dyDescent="0.2">
      <c r="B58" t="s">
        <v>31</v>
      </c>
      <c r="C58" s="11">
        <v>0.4</v>
      </c>
      <c r="G58" s="42">
        <f>G31</f>
        <v>0</v>
      </c>
      <c r="H58" s="14"/>
      <c r="I58" s="14"/>
      <c r="J58" s="14"/>
      <c r="K58" s="14"/>
      <c r="L58" s="14"/>
      <c r="O58" s="30"/>
      <c r="P58" s="30"/>
      <c r="Q58" s="30"/>
      <c r="S58" s="2" t="str">
        <f t="shared" si="13"/>
        <v/>
      </c>
      <c r="T58" s="30"/>
      <c r="U58" s="30"/>
    </row>
    <row r="59" spans="1:32" x14ac:dyDescent="0.2">
      <c r="B59" t="s">
        <v>32</v>
      </c>
      <c r="C59" s="11">
        <v>0.1</v>
      </c>
      <c r="G59" s="43">
        <f>G32</f>
        <v>0</v>
      </c>
      <c r="H59" s="14"/>
      <c r="I59" s="14"/>
      <c r="J59" s="14"/>
      <c r="K59" s="14"/>
      <c r="L59" s="14"/>
      <c r="O59" s="30"/>
      <c r="P59" s="30"/>
      <c r="Q59" s="30"/>
      <c r="S59" s="2" t="str">
        <f t="shared" si="13"/>
        <v/>
      </c>
      <c r="T59" s="30"/>
      <c r="U59" s="30"/>
    </row>
    <row r="60" spans="1:32" x14ac:dyDescent="0.2">
      <c r="O60" s="30"/>
      <c r="P60" s="30"/>
      <c r="Q60" s="30"/>
      <c r="S60" s="2" t="str">
        <f t="shared" si="13"/>
        <v/>
      </c>
      <c r="T60" s="30"/>
      <c r="U60" s="30"/>
    </row>
    <row r="61" spans="1:32" x14ac:dyDescent="0.2">
      <c r="O61" s="30"/>
      <c r="P61" s="30"/>
      <c r="Q61" s="30"/>
      <c r="S61" s="2" t="str">
        <f t="shared" si="13"/>
        <v/>
      </c>
      <c r="T61" s="30"/>
      <c r="U61" s="30"/>
    </row>
    <row r="62" spans="1:32" x14ac:dyDescent="0.2">
      <c r="O62" s="30"/>
      <c r="P62" s="30"/>
      <c r="Q62" s="30"/>
      <c r="S62" s="2" t="str">
        <f t="shared" si="13"/>
        <v/>
      </c>
      <c r="T62" s="30"/>
      <c r="U62" s="30"/>
    </row>
    <row r="63" spans="1:32" x14ac:dyDescent="0.2">
      <c r="O63" s="30"/>
      <c r="P63" s="30"/>
      <c r="Q63" s="30"/>
      <c r="S63" s="2" t="str">
        <f t="shared" si="13"/>
        <v/>
      </c>
      <c r="T63" s="30"/>
      <c r="U63" s="30"/>
    </row>
    <row r="64" spans="1:32" x14ac:dyDescent="0.2">
      <c r="O64" s="30"/>
      <c r="P64" s="30"/>
      <c r="Q64" s="30"/>
      <c r="S64" s="2" t="str">
        <f t="shared" si="13"/>
        <v/>
      </c>
      <c r="T64" s="30"/>
      <c r="U64" s="30"/>
    </row>
    <row r="65" spans="14:21" ht="15" thickBot="1" x14ac:dyDescent="0.25">
      <c r="N65" s="57" t="s">
        <v>68</v>
      </c>
      <c r="O65" s="58">
        <f>H32-P65</f>
        <v>0</v>
      </c>
      <c r="P65" s="35">
        <f>SUM(P56:P64)</f>
        <v>0</v>
      </c>
      <c r="Q65" s="35">
        <f>SUM(Q56:Q64)</f>
        <v>0</v>
      </c>
      <c r="R65" s="57" t="s">
        <v>69</v>
      </c>
      <c r="S65" s="58">
        <f>H32-T65</f>
        <v>0</v>
      </c>
      <c r="T65" s="35">
        <f>SUM(T56:T64)</f>
        <v>0</v>
      </c>
      <c r="U65" s="35">
        <f>SUM(U56:U64)</f>
        <v>0</v>
      </c>
    </row>
    <row r="66" spans="14:21" ht="15" thickTop="1" x14ac:dyDescent="0.2"/>
  </sheetData>
  <mergeCells count="4">
    <mergeCell ref="B2:AC2"/>
    <mergeCell ref="B9:AC9"/>
    <mergeCell ref="B16:AC16"/>
    <mergeCell ref="J55:L55"/>
  </mergeCells>
  <conditionalFormatting sqref="C7:Z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2">
    <cfRule type="cellIs" dxfId="71" priority="24" operator="greaterThan">
      <formula>0.5</formula>
    </cfRule>
    <cfRule type="cellIs" dxfId="70" priority="25" operator="lessThan">
      <formula>0.5</formula>
    </cfRule>
  </conditionalFormatting>
  <conditionalFormatting sqref="C14:Z1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:Z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0:AE53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{8257F908-10E4-46CF-9FB0-8A6A5EEF5D4B}</x14:id>
        </ext>
      </extLst>
    </cfRule>
  </conditionalFormatting>
  <conditionalFormatting sqref="E30:E5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69" priority="29" operator="lessThan">
      <formula>$C$59</formula>
    </cfRule>
    <cfRule type="cellIs" dxfId="68" priority="30" operator="greaterThan">
      <formula>$C$59</formula>
    </cfRule>
  </conditionalFormatting>
  <conditionalFormatting sqref="AF37">
    <cfRule type="cellIs" dxfId="67" priority="31" operator="greaterThan">
      <formula>$C$58</formula>
    </cfRule>
    <cfRule type="cellIs" dxfId="66" priority="32" operator="lessThan">
      <formula>$C$58</formula>
    </cfRule>
  </conditionalFormatting>
  <conditionalFormatting sqref="O39">
    <cfRule type="cellIs" dxfId="65" priority="16" operator="lessThan">
      <formula>0</formula>
    </cfRule>
    <cfRule type="cellIs" dxfId="64" priority="17" operator="equal">
      <formula>0</formula>
    </cfRule>
    <cfRule type="cellIs" dxfId="63" priority="18" operator="greaterThan">
      <formula>0</formula>
    </cfRule>
  </conditionalFormatting>
  <conditionalFormatting sqref="S52">
    <cfRule type="cellIs" dxfId="62" priority="4" operator="lessThan">
      <formula>0</formula>
    </cfRule>
    <cfRule type="cellIs" dxfId="61" priority="5" operator="equal">
      <formula>0</formula>
    </cfRule>
    <cfRule type="cellIs" dxfId="60" priority="6" operator="greaterThan">
      <formula>0</formula>
    </cfRule>
  </conditionalFormatting>
  <conditionalFormatting sqref="O52">
    <cfRule type="cellIs" dxfId="59" priority="13" operator="lessThan">
      <formula>0</formula>
    </cfRule>
    <cfRule type="cellIs" dxfId="58" priority="14" operator="equal">
      <formula>0</formula>
    </cfRule>
    <cfRule type="cellIs" dxfId="57" priority="15" operator="greaterThan">
      <formula>0</formula>
    </cfRule>
  </conditionalFormatting>
  <conditionalFormatting sqref="O65">
    <cfRule type="cellIs" dxfId="56" priority="10" operator="lessThan">
      <formula>0</formula>
    </cfRule>
    <cfRule type="cellIs" dxfId="55" priority="11" operator="equal">
      <formula>0</formula>
    </cfRule>
    <cfRule type="cellIs" dxfId="54" priority="12" operator="greaterThan">
      <formula>0</formula>
    </cfRule>
  </conditionalFormatting>
  <conditionalFormatting sqref="S39">
    <cfRule type="cellIs" dxfId="53" priority="7" operator="lessThan">
      <formula>0</formula>
    </cfRule>
    <cfRule type="cellIs" dxfId="52" priority="8" operator="equal">
      <formula>0</formula>
    </cfRule>
    <cfRule type="cellIs" dxfId="51" priority="9" operator="greaterThan">
      <formula>0</formula>
    </cfRule>
  </conditionalFormatting>
  <conditionalFormatting sqref="S65">
    <cfRule type="cellIs" dxfId="50" priority="1" operator="lessThan">
      <formula>0</formula>
    </cfRule>
    <cfRule type="cellIs" dxfId="49" priority="2" operator="equal">
      <formula>0</formula>
    </cfRule>
    <cfRule type="cellIs" dxfId="48" priority="3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7F908-10E4-46CF-9FB0-8A6A5EEF5D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7" id="{D273275B-405C-4818-864F-81182683D6F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8" id="{5EC32791-4404-4CFC-BE9D-B63541DB69C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E4FB1-D21E-48B8-939A-1DC1D8CE66F6}">
  <sheetPr codeName="Sheet6"/>
  <dimension ref="A1:AS66"/>
  <sheetViews>
    <sheetView topLeftCell="B1" zoomScale="70" zoomScaleNormal="70" workbookViewId="0">
      <selection activeCell="P36" sqref="P36"/>
    </sheetView>
  </sheetViews>
  <sheetFormatPr defaultRowHeight="14.25" outlineLevelRow="1" outlineLevelCol="1" x14ac:dyDescent="0.2"/>
  <cols>
    <col min="1" max="1" width="8.125" hidden="1" customWidth="1"/>
    <col min="2" max="2" width="9.5" customWidth="1"/>
    <col min="3" max="3" width="12.5" customWidth="1"/>
    <col min="4" max="4" width="13.125" customWidth="1"/>
    <col min="5" max="5" width="12" customWidth="1"/>
    <col min="6" max="6" width="11.375" customWidth="1"/>
    <col min="7" max="7" width="13.375" customWidth="1"/>
    <col min="8" max="8" width="15.25" customWidth="1"/>
    <col min="9" max="9" width="18.125" customWidth="1"/>
    <col min="10" max="10" width="18.625" customWidth="1"/>
    <col min="11" max="11" width="16.2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hidden="1" customWidth="1" outlineLevel="1"/>
    <col min="24" max="24" width="10.875" hidden="1" customWidth="1" outlineLevel="1"/>
    <col min="25" max="25" width="10.625" hidden="1" customWidth="1" outlineLevel="1"/>
    <col min="26" max="26" width="11.25" hidden="1" customWidth="1" outlineLevel="1"/>
    <col min="27" max="27" width="11.25" customWidth="1" collapsed="1"/>
    <col min="28" max="28" width="12.125" customWidth="1"/>
    <col min="29" max="29" width="12.25" customWidth="1"/>
    <col min="30" max="30" width="12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9" t="str">
        <f xml:space="preserve"> "Auction Dashboard "</f>
        <v xml:space="preserve">Auction Dashboard </v>
      </c>
      <c r="D1" s="62">
        <v>43384</v>
      </c>
      <c r="E1" s="61"/>
    </row>
    <row r="2" spans="2:45" ht="16.149999999999999" customHeight="1" x14ac:dyDescent="0.2">
      <c r="B2" s="51" t="str">
        <f>"Indicative yield : " &amp;G30</f>
        <v xml:space="preserve">Indicative yield : 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3"/>
    </row>
    <row r="3" spans="2:45" x14ac:dyDescent="0.2">
      <c r="B3" s="27" t="s">
        <v>0</v>
      </c>
      <c r="C3" s="28" t="str">
        <f t="array" ref="C3:Z3">TRANSPOSE($AB$30:$AB$53)</f>
        <v>BNP</v>
      </c>
      <c r="D3" s="28" t="str">
        <v>BBL</v>
      </c>
      <c r="E3" s="28" t="str">
        <v>KBANK</v>
      </c>
      <c r="F3" s="28" t="str">
        <v>TMB</v>
      </c>
      <c r="G3" s="28" t="str">
        <v>KTB</v>
      </c>
      <c r="H3" s="28" t="str">
        <v>CIMBT</v>
      </c>
      <c r="I3" s="28" t="str">
        <v>BAY</v>
      </c>
      <c r="J3" s="28" t="str">
        <v>SCB</v>
      </c>
      <c r="K3" s="28" t="str">
        <v>TBANK</v>
      </c>
      <c r="L3" s="28" t="str">
        <v>TISCOBANK</v>
      </c>
      <c r="M3" s="28" t="str">
        <v>SCBT</v>
      </c>
      <c r="N3" s="28" t="str">
        <v>HSBC</v>
      </c>
      <c r="O3" s="28" t="str">
        <v>CITIBANK</v>
      </c>
      <c r="P3" s="28" t="str">
        <v>KKP</v>
      </c>
      <c r="Q3" s="28" t="str">
        <v>UOBT</v>
      </c>
      <c r="R3" s="28" t="str">
        <v>GSB</v>
      </c>
      <c r="S3" s="28" t="str">
        <v>KGI</v>
      </c>
      <c r="T3" s="28" t="str">
        <v>BAML</v>
      </c>
      <c r="U3" s="28" t="str">
        <v>JP_MORGAN</v>
      </c>
      <c r="V3" s="28" t="str">
        <v>ANZT</v>
      </c>
      <c r="W3" s="28" t="str">
        <v>DEUTSCHE_BANK</v>
      </c>
      <c r="X3" s="28" t="str">
        <v>CNS</v>
      </c>
      <c r="Y3" s="28" t="str">
        <v>PHATRA</v>
      </c>
      <c r="Z3" s="28" t="str">
        <v>MBKET</v>
      </c>
      <c r="AA3" s="12" t="s">
        <v>6</v>
      </c>
      <c r="AB3" s="12" t="s">
        <v>7</v>
      </c>
      <c r="AC3" s="12" t="s">
        <v>8</v>
      </c>
      <c r="AD3" s="37">
        <f>G30</f>
        <v>0</v>
      </c>
      <c r="AS3" s="4"/>
    </row>
    <row r="4" spans="2:45" x14ac:dyDescent="0.2">
      <c r="B4" s="27" t="s">
        <v>1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25">
        <f>MIN(C4:Z4)</f>
        <v>0</v>
      </c>
      <c r="AB4" s="25">
        <f>MAX(C4:Z4)</f>
        <v>0</v>
      </c>
      <c r="AC4" s="25">
        <f>IFERROR(AVERAGE(C4:Z4),0)</f>
        <v>0</v>
      </c>
    </row>
    <row r="5" spans="2:45" x14ac:dyDescent="0.2">
      <c r="B5" s="27" t="s">
        <v>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25">
        <f>MIN(C5:Z5)</f>
        <v>0</v>
      </c>
      <c r="AB5" s="25">
        <f>MAX(C5:Z5)</f>
        <v>0</v>
      </c>
      <c r="AC5" s="25">
        <f>IFERROR(AVERAGE(C5:Z5),0)</f>
        <v>0</v>
      </c>
    </row>
    <row r="6" spans="2:45" x14ac:dyDescent="0.2">
      <c r="B6" s="27" t="s">
        <v>3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25">
        <f>MIN(C6:Z6)</f>
        <v>0</v>
      </c>
      <c r="AB6" s="25">
        <f>MAX(C6:Z6)</f>
        <v>0</v>
      </c>
      <c r="AC6" s="25">
        <f>IFERROR(AVERAGE(C6:Z6),0)</f>
        <v>0</v>
      </c>
    </row>
    <row r="7" spans="2:45" x14ac:dyDescent="0.2">
      <c r="B7" s="27" t="s">
        <v>8</v>
      </c>
      <c r="C7" s="29" t="str">
        <f>IFERROR(AVERAGE(C4:C6),"")</f>
        <v/>
      </c>
      <c r="D7" s="29" t="str">
        <f t="shared" ref="D7:Z7" si="0">IFERROR(AVERAGE(D4:D6),"")</f>
        <v/>
      </c>
      <c r="E7" s="29" t="str">
        <f t="shared" si="0"/>
        <v/>
      </c>
      <c r="F7" s="29" t="str">
        <f t="shared" si="0"/>
        <v/>
      </c>
      <c r="G7" s="29" t="str">
        <f t="shared" si="0"/>
        <v/>
      </c>
      <c r="H7" s="29" t="str">
        <f t="shared" si="0"/>
        <v/>
      </c>
      <c r="I7" s="29" t="str">
        <f t="shared" si="0"/>
        <v/>
      </c>
      <c r="J7" s="29" t="str">
        <f t="shared" si="0"/>
        <v/>
      </c>
      <c r="K7" s="29" t="str">
        <f t="shared" si="0"/>
        <v/>
      </c>
      <c r="L7" s="29" t="str">
        <f t="shared" si="0"/>
        <v/>
      </c>
      <c r="M7" s="29" t="str">
        <f t="shared" si="0"/>
        <v/>
      </c>
      <c r="N7" s="29" t="str">
        <f t="shared" si="0"/>
        <v/>
      </c>
      <c r="O7" s="29" t="str">
        <f t="shared" si="0"/>
        <v/>
      </c>
      <c r="P7" s="29" t="str">
        <f t="shared" si="0"/>
        <v/>
      </c>
      <c r="Q7" s="29" t="str">
        <f t="shared" si="0"/>
        <v/>
      </c>
      <c r="R7" s="29" t="str">
        <f t="shared" si="0"/>
        <v/>
      </c>
      <c r="S7" s="29" t="str">
        <f t="shared" si="0"/>
        <v/>
      </c>
      <c r="T7" s="29" t="str">
        <f t="shared" si="0"/>
        <v/>
      </c>
      <c r="U7" s="29" t="str">
        <f t="shared" si="0"/>
        <v/>
      </c>
      <c r="V7" s="29" t="str">
        <f t="shared" si="0"/>
        <v/>
      </c>
      <c r="W7" s="29" t="str">
        <f t="shared" si="0"/>
        <v/>
      </c>
      <c r="X7" s="29" t="str">
        <f t="shared" si="0"/>
        <v/>
      </c>
      <c r="Y7" s="29" t="str">
        <f t="shared" si="0"/>
        <v/>
      </c>
      <c r="Z7" s="29" t="str">
        <f t="shared" si="0"/>
        <v/>
      </c>
      <c r="AA7" s="26">
        <f>MAX(AA4:AA6)</f>
        <v>0</v>
      </c>
      <c r="AB7" s="26">
        <f>MAX(AB4:AB6)</f>
        <v>0</v>
      </c>
      <c r="AC7" s="26">
        <f>MAX(AC4:AC6)</f>
        <v>0</v>
      </c>
    </row>
    <row r="9" spans="2:45" outlineLevel="1" x14ac:dyDescent="0.2">
      <c r="B9" s="51" t="str">
        <f>"Indicative yield : " &amp;G31</f>
        <v xml:space="preserve">Indicative yield : 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3"/>
    </row>
    <row r="10" spans="2:45" outlineLevel="1" x14ac:dyDescent="0.2">
      <c r="B10" s="27" t="s">
        <v>0</v>
      </c>
      <c r="C10" s="28" t="str">
        <f t="array" ref="C10:Z10">TRANSPOSE($AB$30:$AB$53)</f>
        <v>BNP</v>
      </c>
      <c r="D10" s="28" t="str">
        <v>BBL</v>
      </c>
      <c r="E10" s="28" t="str">
        <v>KBANK</v>
      </c>
      <c r="F10" s="28" t="str">
        <v>TMB</v>
      </c>
      <c r="G10" s="28" t="str">
        <v>KTB</v>
      </c>
      <c r="H10" s="28" t="str">
        <v>CIMBT</v>
      </c>
      <c r="I10" s="28" t="str">
        <v>BAY</v>
      </c>
      <c r="J10" s="28" t="str">
        <v>SCB</v>
      </c>
      <c r="K10" s="28" t="str">
        <v>TBANK</v>
      </c>
      <c r="L10" s="28" t="str">
        <v>TISCOBANK</v>
      </c>
      <c r="M10" s="28" t="str">
        <v>SCBT</v>
      </c>
      <c r="N10" s="28" t="str">
        <v>HSBC</v>
      </c>
      <c r="O10" s="28" t="str">
        <v>CITIBANK</v>
      </c>
      <c r="P10" s="28" t="str">
        <v>KKP</v>
      </c>
      <c r="Q10" s="28" t="str">
        <v>UOBT</v>
      </c>
      <c r="R10" s="28" t="str">
        <v>GSB</v>
      </c>
      <c r="S10" s="28" t="str">
        <v>KGI</v>
      </c>
      <c r="T10" s="28" t="str">
        <v>BAML</v>
      </c>
      <c r="U10" s="28" t="str">
        <v>JP_MORGAN</v>
      </c>
      <c r="V10" s="28" t="str">
        <v>ANZT</v>
      </c>
      <c r="W10" s="28" t="str">
        <v>DEUTSCHE_BANK</v>
      </c>
      <c r="X10" s="28" t="str">
        <v>CNS</v>
      </c>
      <c r="Y10" s="28" t="str">
        <v>PHATRA</v>
      </c>
      <c r="Z10" s="28" t="str">
        <v>MBKET</v>
      </c>
      <c r="AA10" s="12" t="s">
        <v>6</v>
      </c>
      <c r="AB10" s="12" t="s">
        <v>7</v>
      </c>
      <c r="AC10" s="12" t="s">
        <v>8</v>
      </c>
      <c r="AD10" s="37">
        <f>G31</f>
        <v>0</v>
      </c>
    </row>
    <row r="11" spans="2:45" outlineLevel="1" x14ac:dyDescent="0.2">
      <c r="B11" s="27" t="s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>
        <f>MIN(C11:S11)</f>
        <v>0</v>
      </c>
      <c r="AB11" s="25">
        <f>MAX(C11:S11)</f>
        <v>0</v>
      </c>
      <c r="AC11" s="25">
        <f>IFERROR(AVERAGE(C11:Z11),0)</f>
        <v>0</v>
      </c>
    </row>
    <row r="12" spans="2:45" outlineLevel="1" x14ac:dyDescent="0.2">
      <c r="B12" s="27" t="s">
        <v>2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>
        <f>MIN(C12:S12)</f>
        <v>0</v>
      </c>
      <c r="AB12" s="25">
        <f>MAX(C12:S12)</f>
        <v>0</v>
      </c>
      <c r="AC12" s="25">
        <f>IFERROR(AVERAGE(C12:Z12),0)</f>
        <v>0</v>
      </c>
    </row>
    <row r="13" spans="2:45" outlineLevel="1" x14ac:dyDescent="0.2">
      <c r="B13" s="27" t="s">
        <v>3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25">
        <f>MIN(C13:S13)</f>
        <v>0</v>
      </c>
      <c r="AB13" s="25">
        <f>MAX(C13:S13)</f>
        <v>0</v>
      </c>
      <c r="AC13" s="25">
        <f>IFERROR(AVERAGE(C13:Z13),0)</f>
        <v>0</v>
      </c>
    </row>
    <row r="14" spans="2:45" outlineLevel="1" x14ac:dyDescent="0.2">
      <c r="B14" s="27" t="s">
        <v>8</v>
      </c>
      <c r="C14" s="29" t="str">
        <f t="shared" ref="C14:Z14" si="1">IFERROR(AVERAGE(C11:C13),"")</f>
        <v/>
      </c>
      <c r="D14" s="29" t="str">
        <f t="shared" si="1"/>
        <v/>
      </c>
      <c r="E14" s="29" t="str">
        <f t="shared" si="1"/>
        <v/>
      </c>
      <c r="F14" s="29" t="str">
        <f t="shared" si="1"/>
        <v/>
      </c>
      <c r="G14" s="29" t="str">
        <f t="shared" si="1"/>
        <v/>
      </c>
      <c r="H14" s="29" t="str">
        <f t="shared" si="1"/>
        <v/>
      </c>
      <c r="I14" s="29" t="str">
        <f t="shared" si="1"/>
        <v/>
      </c>
      <c r="J14" s="29" t="str">
        <f t="shared" si="1"/>
        <v/>
      </c>
      <c r="K14" s="29" t="str">
        <f t="shared" si="1"/>
        <v/>
      </c>
      <c r="L14" s="29" t="str">
        <f t="shared" si="1"/>
        <v/>
      </c>
      <c r="M14" s="29" t="str">
        <f t="shared" si="1"/>
        <v/>
      </c>
      <c r="N14" s="29" t="str">
        <f t="shared" si="1"/>
        <v/>
      </c>
      <c r="O14" s="29" t="str">
        <f t="shared" si="1"/>
        <v/>
      </c>
      <c r="P14" s="29" t="str">
        <f t="shared" si="1"/>
        <v/>
      </c>
      <c r="Q14" s="29" t="str">
        <f t="shared" si="1"/>
        <v/>
      </c>
      <c r="R14" s="29" t="str">
        <f t="shared" si="1"/>
        <v/>
      </c>
      <c r="S14" s="29" t="str">
        <f t="shared" si="1"/>
        <v/>
      </c>
      <c r="T14" s="29" t="str">
        <f t="shared" si="1"/>
        <v/>
      </c>
      <c r="U14" s="29" t="str">
        <f t="shared" si="1"/>
        <v/>
      </c>
      <c r="V14" s="29" t="str">
        <f t="shared" si="1"/>
        <v/>
      </c>
      <c r="W14" s="29" t="str">
        <f t="shared" si="1"/>
        <v/>
      </c>
      <c r="X14" s="29" t="str">
        <f t="shared" si="1"/>
        <v/>
      </c>
      <c r="Y14" s="29" t="str">
        <f t="shared" si="1"/>
        <v/>
      </c>
      <c r="Z14" s="29" t="str">
        <f t="shared" si="1"/>
        <v/>
      </c>
      <c r="AA14" s="26">
        <f>MAX(AA11:AA13)</f>
        <v>0</v>
      </c>
      <c r="AB14" s="26">
        <f>MAX(AB11:AB13)</f>
        <v>0</v>
      </c>
      <c r="AC14" s="26">
        <f>MAX(AC11:AC13)</f>
        <v>0</v>
      </c>
    </row>
    <row r="16" spans="2:45" hidden="1" outlineLevel="1" x14ac:dyDescent="0.2">
      <c r="B16" s="51" t="str">
        <f>"Indicative yield : " &amp;G32</f>
        <v xml:space="preserve">Indicative yield : 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3"/>
    </row>
    <row r="17" spans="1:32" hidden="1" outlineLevel="1" x14ac:dyDescent="0.2">
      <c r="B17" s="27" t="s">
        <v>0</v>
      </c>
      <c r="C17" s="28" t="str">
        <f t="array" ref="C17:Z17">TRANSPOSE($AB$30:$AB$53)</f>
        <v>BNP</v>
      </c>
      <c r="D17" s="28" t="str">
        <v>BBL</v>
      </c>
      <c r="E17" s="28" t="str">
        <v>KBANK</v>
      </c>
      <c r="F17" s="28" t="str">
        <v>TMB</v>
      </c>
      <c r="G17" s="28" t="str">
        <v>KTB</v>
      </c>
      <c r="H17" s="28" t="str">
        <v>CIMBT</v>
      </c>
      <c r="I17" s="28" t="str">
        <v>BAY</v>
      </c>
      <c r="J17" s="28" t="str">
        <v>SCB</v>
      </c>
      <c r="K17" s="28" t="str">
        <v>TBANK</v>
      </c>
      <c r="L17" s="28" t="str">
        <v>TISCOBANK</v>
      </c>
      <c r="M17" s="28" t="str">
        <v>SCBT</v>
      </c>
      <c r="N17" s="28" t="str">
        <v>HSBC</v>
      </c>
      <c r="O17" s="28" t="str">
        <v>CITIBANK</v>
      </c>
      <c r="P17" s="28" t="str">
        <v>KKP</v>
      </c>
      <c r="Q17" s="28" t="str">
        <v>UOBT</v>
      </c>
      <c r="R17" s="28" t="str">
        <v>GSB</v>
      </c>
      <c r="S17" s="28" t="str">
        <v>KGI</v>
      </c>
      <c r="T17" s="28" t="str">
        <v>BAML</v>
      </c>
      <c r="U17" s="28" t="str">
        <v>JP_MORGAN</v>
      </c>
      <c r="V17" s="28" t="str">
        <v>ANZT</v>
      </c>
      <c r="W17" s="28" t="str">
        <v>DEUTSCHE_BANK</v>
      </c>
      <c r="X17" s="28" t="str">
        <v>CNS</v>
      </c>
      <c r="Y17" s="28" t="str">
        <v>PHATRA</v>
      </c>
      <c r="Z17" s="28" t="str">
        <v>MBKET</v>
      </c>
      <c r="AA17" s="12" t="s">
        <v>6</v>
      </c>
      <c r="AB17" s="12" t="s">
        <v>7</v>
      </c>
      <c r="AC17" s="12" t="s">
        <v>8</v>
      </c>
      <c r="AD17" s="37">
        <f>G32</f>
        <v>0</v>
      </c>
    </row>
    <row r="18" spans="1:32" hidden="1" outlineLevel="1" x14ac:dyDescent="0.2">
      <c r="B18" s="27" t="s"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>
        <f>MIN(C18:Z18)</f>
        <v>0</v>
      </c>
      <c r="AB18" s="25">
        <f>MAX(C18:Z18)</f>
        <v>0</v>
      </c>
      <c r="AC18" s="25">
        <f>IFERROR(AVERAGE(C18:Z18),0)</f>
        <v>0</v>
      </c>
    </row>
    <row r="19" spans="1:32" hidden="1" outlineLevel="1" x14ac:dyDescent="0.2">
      <c r="B19" s="27" t="s">
        <v>2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>
        <f>MIN(C19:Z19)</f>
        <v>0</v>
      </c>
      <c r="AB19" s="25">
        <f>MAX(C19:Z19)</f>
        <v>0</v>
      </c>
      <c r="AC19" s="25">
        <f>IFERROR(AVERAGE(C19:Z19),0)</f>
        <v>0</v>
      </c>
    </row>
    <row r="20" spans="1:32" hidden="1" outlineLevel="1" x14ac:dyDescent="0.2">
      <c r="B20" s="27" t="s">
        <v>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25">
        <f>MIN(C20:Z20)</f>
        <v>0</v>
      </c>
      <c r="AB20" s="25">
        <f>MAX(C20:Z20)</f>
        <v>0</v>
      </c>
      <c r="AC20" s="25">
        <f>IFERROR(AVERAGE(C20:Z20),0)</f>
        <v>0</v>
      </c>
    </row>
    <row r="21" spans="1:32" hidden="1" outlineLevel="1" x14ac:dyDescent="0.2">
      <c r="B21" s="27" t="s">
        <v>8</v>
      </c>
      <c r="C21" s="29" t="str">
        <f t="shared" ref="C21:Z21" si="2">IFERROR(AVERAGE(C18:C20),"")</f>
        <v/>
      </c>
      <c r="D21" s="29" t="str">
        <f t="shared" si="2"/>
        <v/>
      </c>
      <c r="E21" s="29" t="str">
        <f t="shared" si="2"/>
        <v/>
      </c>
      <c r="F21" s="29" t="str">
        <f t="shared" si="2"/>
        <v/>
      </c>
      <c r="G21" s="29" t="str">
        <f t="shared" si="2"/>
        <v/>
      </c>
      <c r="H21" s="29" t="str">
        <f t="shared" si="2"/>
        <v/>
      </c>
      <c r="I21" s="29" t="str">
        <f t="shared" si="2"/>
        <v/>
      </c>
      <c r="J21" s="29" t="str">
        <f t="shared" si="2"/>
        <v/>
      </c>
      <c r="K21" s="29" t="str">
        <f t="shared" si="2"/>
        <v/>
      </c>
      <c r="L21" s="29" t="str">
        <f t="shared" si="2"/>
        <v/>
      </c>
      <c r="M21" s="29" t="str">
        <f t="shared" si="2"/>
        <v/>
      </c>
      <c r="N21" s="29" t="str">
        <f t="shared" si="2"/>
        <v/>
      </c>
      <c r="O21" s="29" t="str">
        <f t="shared" si="2"/>
        <v/>
      </c>
      <c r="P21" s="29" t="str">
        <f t="shared" si="2"/>
        <v/>
      </c>
      <c r="Q21" s="29" t="str">
        <f t="shared" si="2"/>
        <v/>
      </c>
      <c r="R21" s="29" t="str">
        <f t="shared" si="2"/>
        <v/>
      </c>
      <c r="S21" s="29" t="str">
        <f t="shared" si="2"/>
        <v/>
      </c>
      <c r="T21" s="29" t="str">
        <f t="shared" si="2"/>
        <v/>
      </c>
      <c r="U21" s="29" t="str">
        <f t="shared" si="2"/>
        <v/>
      </c>
      <c r="V21" s="29" t="str">
        <f t="shared" si="2"/>
        <v/>
      </c>
      <c r="W21" s="29" t="str">
        <f t="shared" si="2"/>
        <v/>
      </c>
      <c r="X21" s="29" t="str">
        <f t="shared" si="2"/>
        <v/>
      </c>
      <c r="Y21" s="29" t="str">
        <f t="shared" si="2"/>
        <v/>
      </c>
      <c r="Z21" s="29" t="str">
        <f t="shared" si="2"/>
        <v/>
      </c>
      <c r="AA21" s="26">
        <f>MAX(AA18:AA20)</f>
        <v>0</v>
      </c>
      <c r="AB21" s="26">
        <f>MAX(AB18:AB20)</f>
        <v>0</v>
      </c>
      <c r="AC21" s="26">
        <f>MAX(AC18:AC20)</f>
        <v>0</v>
      </c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32" t="str">
        <f>"Auction Simulation : "</f>
        <v xml:space="preserve">Auction Simulation : </v>
      </c>
      <c r="D28" s="17">
        <f>G32</f>
        <v>0</v>
      </c>
      <c r="G28" s="4" t="s">
        <v>22</v>
      </c>
      <c r="O28" s="38" t="str">
        <f>"Auction Excute : " &amp; G30</f>
        <v xml:space="preserve">Auction Excute : </v>
      </c>
      <c r="S28" s="4" t="s">
        <v>19</v>
      </c>
      <c r="W28" s="4" t="s">
        <v>54</v>
      </c>
    </row>
    <row r="29" spans="1:32" x14ac:dyDescent="0.2">
      <c r="A29" s="60">
        <f>MATCH($D$28,$AD$1:$AD$21,0)</f>
        <v>3</v>
      </c>
      <c r="B29" s="27" t="s">
        <v>17</v>
      </c>
      <c r="C29" s="27" t="s">
        <v>0</v>
      </c>
      <c r="D29" s="27" t="s">
        <v>4</v>
      </c>
      <c r="E29" s="27" t="s">
        <v>25</v>
      </c>
      <c r="G29" s="27" t="s">
        <v>26</v>
      </c>
      <c r="H29" s="27" t="s">
        <v>18</v>
      </c>
      <c r="I29" s="27" t="s">
        <v>23</v>
      </c>
      <c r="J29" s="27" t="s">
        <v>24</v>
      </c>
      <c r="K29" s="27" t="s">
        <v>52</v>
      </c>
      <c r="L29" s="27" t="s">
        <v>53</v>
      </c>
      <c r="M29" s="27" t="s">
        <v>63</v>
      </c>
      <c r="O29" s="33" t="s">
        <v>0</v>
      </c>
      <c r="P29" s="33" t="s">
        <v>4</v>
      </c>
      <c r="Q29" s="33" t="s">
        <v>25</v>
      </c>
      <c r="S29" s="33" t="s">
        <v>0</v>
      </c>
      <c r="T29" s="33" t="s">
        <v>4</v>
      </c>
      <c r="U29" s="33" t="s">
        <v>25</v>
      </c>
      <c r="W29" s="33" t="s">
        <v>5</v>
      </c>
      <c r="X29" s="33" t="s">
        <v>17</v>
      </c>
      <c r="Y29" s="33" t="s">
        <v>23</v>
      </c>
      <c r="Z29" s="33" t="s">
        <v>24</v>
      </c>
      <c r="AA29" s="33" t="s">
        <v>28</v>
      </c>
      <c r="AB29" s="33" t="s">
        <v>0</v>
      </c>
      <c r="AC29" s="33" t="s">
        <v>20</v>
      </c>
      <c r="AD29" s="33" t="s">
        <v>65</v>
      </c>
      <c r="AE29" s="33" t="s">
        <v>51</v>
      </c>
      <c r="AF29" s="33" t="s">
        <v>33</v>
      </c>
    </row>
    <row r="30" spans="1:32" x14ac:dyDescent="0.2">
      <c r="A30">
        <f t="shared" ref="A30:A53" si="3">MATCH(C30,$A$3:$Z$3,0)</f>
        <v>3</v>
      </c>
      <c r="B30" s="3">
        <f t="shared" ref="B30:B53" si="4">INDEX($X$30:$X$53,MATCH(C30,$AB$30:$AB$53,0))</f>
        <v>1</v>
      </c>
      <c r="C30" s="1" t="str">
        <f t="shared" ref="C30:C53" si="5">AB30</f>
        <v>BNP</v>
      </c>
      <c r="D30" s="34">
        <f t="shared" ref="D30:D53" si="6">IFERROR(IF(MATCH(C30,$A$57:$A$60,0)=1,$I$30*0.35,IF(MATCH(C30,$A$57:$A$60,0)=2,$I$30*0.3,IF(MATCH(C30,$A$57:$A$60,0)=3,$I$30*0.25,IF(MATCH(C30,$A$57:$A$60,0)=4,$I$30*0.1)))),0)</f>
        <v>0</v>
      </c>
      <c r="E30" s="29" t="str">
        <f ca="1">INDIRECT(ADDRESS($A$29+4,A30))</f>
        <v/>
      </c>
      <c r="G30" s="10"/>
      <c r="H30" s="58">
        <f>SUM(I30:L30)</f>
        <v>0</v>
      </c>
      <c r="I30" s="10"/>
      <c r="J30" s="10"/>
      <c r="K30" s="10"/>
      <c r="L30" s="10"/>
      <c r="M30" s="10"/>
      <c r="O30" s="30"/>
      <c r="P30" s="30"/>
      <c r="Q30" s="14"/>
      <c r="S30" s="2" t="str">
        <f>IF(ISBLANK(O30),"",O30)</f>
        <v/>
      </c>
      <c r="T30" s="30"/>
      <c r="U30" s="14"/>
      <c r="W30" s="44">
        <v>1</v>
      </c>
      <c r="X30" s="6">
        <v>1</v>
      </c>
      <c r="Y30" s="6">
        <v>1</v>
      </c>
      <c r="Z30" s="6">
        <v>1</v>
      </c>
      <c r="AA30" s="6">
        <f ca="1">IF(SUM(OFFSET(INDIRECT(ADDRESS($A$29,$A30)),1,0,3)) &gt; 0,1,0)</f>
        <v>0</v>
      </c>
      <c r="AB30" s="23" t="s">
        <v>13</v>
      </c>
      <c r="AC30" s="3">
        <f t="shared" ref="AC30:AC53" si="7">SUMIF($S$30:$S$64,AB30,$T$30:$T$64)</f>
        <v>0</v>
      </c>
      <c r="AD30" s="3">
        <f ca="1">INDIRECT("'"&amp;$A$55&amp;"'!"&amp;ADDRESS(ROW(),COLUMN()))+AC30</f>
        <v>0</v>
      </c>
      <c r="AE30" s="31">
        <f t="shared" ref="AE30:AE53" ca="1" si="8">AD30/$AD$54</f>
        <v>0</v>
      </c>
      <c r="AF30" s="19"/>
    </row>
    <row r="31" spans="1:32" x14ac:dyDescent="0.2">
      <c r="A31">
        <f t="shared" si="3"/>
        <v>4</v>
      </c>
      <c r="B31" s="3">
        <f t="shared" si="4"/>
        <v>2</v>
      </c>
      <c r="C31" s="1" t="str">
        <f t="shared" si="5"/>
        <v>BBL</v>
      </c>
      <c r="D31" s="34">
        <f t="shared" si="6"/>
        <v>0</v>
      </c>
      <c r="E31" s="29" t="str">
        <f ca="1">INDIRECT(ADDRESS($A$29+4,A31))</f>
        <v/>
      </c>
      <c r="G31" s="10"/>
      <c r="H31" s="58">
        <f t="shared" ref="H31:H32" si="9">SUM(I31:L31)</f>
        <v>0</v>
      </c>
      <c r="I31" s="10"/>
      <c r="J31" s="10"/>
      <c r="K31" s="10"/>
      <c r="L31" s="10"/>
      <c r="M31" s="10"/>
      <c r="O31" s="30"/>
      <c r="P31" s="30"/>
      <c r="Q31" s="30"/>
      <c r="S31" s="2" t="str">
        <f t="shared" ref="S31:S38" si="10">IF(ISBLANK(O31),"",O31)</f>
        <v/>
      </c>
      <c r="T31" s="30"/>
      <c r="U31" s="30"/>
      <c r="W31" s="44">
        <v>1</v>
      </c>
      <c r="X31" s="6">
        <v>2</v>
      </c>
      <c r="Y31" s="6">
        <v>1</v>
      </c>
      <c r="Z31" s="6">
        <v>0</v>
      </c>
      <c r="AA31" s="6">
        <f ca="1">IF(SUM(OFFSET(INDIRECT(ADDRESS($A$29,$A31)),1,0,3)) &gt; 0,1,0)</f>
        <v>0</v>
      </c>
      <c r="AB31" s="23" t="s">
        <v>11</v>
      </c>
      <c r="AC31" s="3">
        <f t="shared" si="7"/>
        <v>0</v>
      </c>
      <c r="AD31" s="3">
        <f t="shared" ref="AD31:AD53" ca="1" si="11">INDIRECT("'"&amp;$A$55&amp;"'!"&amp;ADDRESS(ROW(),COLUMN()))+AC31</f>
        <v>2400</v>
      </c>
      <c r="AE31" s="31">
        <f t="shared" ca="1" si="8"/>
        <v>0.13043478260869565</v>
      </c>
      <c r="AF31" s="20"/>
    </row>
    <row r="32" spans="1:32" x14ac:dyDescent="0.2">
      <c r="A32">
        <f t="shared" si="3"/>
        <v>5</v>
      </c>
      <c r="B32" s="3">
        <f t="shared" si="4"/>
        <v>3</v>
      </c>
      <c r="C32" s="1" t="str">
        <f t="shared" si="5"/>
        <v>KBANK</v>
      </c>
      <c r="D32" s="34">
        <f t="shared" si="6"/>
        <v>0</v>
      </c>
      <c r="E32" s="29" t="str">
        <f ca="1">INDIRECT(ADDRESS($A$29+4,A32))</f>
        <v/>
      </c>
      <c r="G32" s="10"/>
      <c r="H32" s="58">
        <f t="shared" si="9"/>
        <v>0</v>
      </c>
      <c r="I32" s="10"/>
      <c r="J32" s="10"/>
      <c r="K32" s="10"/>
      <c r="L32" s="10"/>
      <c r="M32" s="10"/>
      <c r="O32" s="30"/>
      <c r="P32" s="30"/>
      <c r="Q32" s="30"/>
      <c r="S32" s="2" t="str">
        <f t="shared" si="10"/>
        <v/>
      </c>
      <c r="T32" s="30"/>
      <c r="U32" s="30"/>
      <c r="W32" s="44">
        <v>1</v>
      </c>
      <c r="X32" s="6">
        <v>3</v>
      </c>
      <c r="Y32" s="6">
        <v>1</v>
      </c>
      <c r="Z32" s="6">
        <v>1</v>
      </c>
      <c r="AA32" s="6">
        <f ca="1">IF(SUM(OFFSET(INDIRECT(ADDRESS($A$29,$A32)),1,0,3)) &gt; 0,1,0)</f>
        <v>0</v>
      </c>
      <c r="AB32" s="23" t="s">
        <v>12</v>
      </c>
      <c r="AC32" s="3">
        <f t="shared" si="7"/>
        <v>0</v>
      </c>
      <c r="AD32" s="3">
        <f t="shared" ca="1" si="11"/>
        <v>6000</v>
      </c>
      <c r="AE32" s="21">
        <f t="shared" ca="1" si="8"/>
        <v>0.32608695652173914</v>
      </c>
      <c r="AF32" s="21">
        <f ca="1">SUMIF($W$30:$W$53,$W$32,$AD$30:$AD$53)/$AD$54</f>
        <v>0.45652173913043476</v>
      </c>
    </row>
    <row r="33" spans="1:32" x14ac:dyDescent="0.2">
      <c r="A33">
        <f t="shared" si="3"/>
        <v>6</v>
      </c>
      <c r="B33" s="3">
        <f t="shared" si="4"/>
        <v>4</v>
      </c>
      <c r="C33" s="1" t="str">
        <f t="shared" si="5"/>
        <v>TMB</v>
      </c>
      <c r="D33" s="34">
        <f t="shared" si="6"/>
        <v>0</v>
      </c>
      <c r="E33" s="29" t="str">
        <f ca="1">INDIRECT(ADDRESS($A$29+4,A33))</f>
        <v/>
      </c>
      <c r="G33" s="46"/>
      <c r="O33" s="30"/>
      <c r="P33" s="30"/>
      <c r="Q33" s="30"/>
      <c r="S33" s="2" t="str">
        <f t="shared" si="10"/>
        <v/>
      </c>
      <c r="T33" s="30"/>
      <c r="U33" s="30"/>
      <c r="W33" s="3">
        <v>2</v>
      </c>
      <c r="X33" s="6">
        <v>4</v>
      </c>
      <c r="Y33" s="6">
        <v>1</v>
      </c>
      <c r="Z33" s="6">
        <v>1</v>
      </c>
      <c r="AA33" s="6">
        <f ca="1">IF(SUM(OFFSET(INDIRECT(ADDRESS($A$29,$A33)),1,0,3)) &gt; 0,1,0)</f>
        <v>0</v>
      </c>
      <c r="AB33" s="23" t="s">
        <v>10</v>
      </c>
      <c r="AC33" s="3">
        <f t="shared" si="7"/>
        <v>0</v>
      </c>
      <c r="AD33" s="3">
        <f t="shared" ca="1" si="11"/>
        <v>0</v>
      </c>
      <c r="AE33" s="31">
        <f t="shared" ca="1" si="8"/>
        <v>0</v>
      </c>
      <c r="AF33" s="20"/>
    </row>
    <row r="34" spans="1:32" x14ac:dyDescent="0.2">
      <c r="A34">
        <f t="shared" si="3"/>
        <v>7</v>
      </c>
      <c r="B34" s="3">
        <f t="shared" si="4"/>
        <v>5</v>
      </c>
      <c r="C34" s="1" t="str">
        <f t="shared" si="5"/>
        <v>KTB</v>
      </c>
      <c r="D34" s="34">
        <f t="shared" si="6"/>
        <v>0</v>
      </c>
      <c r="E34" s="29" t="str">
        <f ca="1">INDIRECT(ADDRESS($A$29+4,A34))</f>
        <v/>
      </c>
      <c r="G34" s="47"/>
      <c r="O34" s="30"/>
      <c r="P34" s="30"/>
      <c r="Q34" s="30"/>
      <c r="S34" s="2" t="str">
        <f t="shared" si="10"/>
        <v/>
      </c>
      <c r="T34" s="30"/>
      <c r="U34" s="30"/>
      <c r="W34" s="3">
        <v>2</v>
      </c>
      <c r="X34" s="6">
        <v>5</v>
      </c>
      <c r="Y34" s="6">
        <v>1</v>
      </c>
      <c r="Z34" s="6">
        <v>0</v>
      </c>
      <c r="AA34" s="6">
        <f ca="1">IF(SUM(OFFSET(INDIRECT(ADDRESS($A$29,$A34)),1,0,3)) &gt; 0,1,0)</f>
        <v>0</v>
      </c>
      <c r="AB34" s="23" t="s">
        <v>14</v>
      </c>
      <c r="AC34" s="3">
        <f t="shared" si="7"/>
        <v>0</v>
      </c>
      <c r="AD34" s="3">
        <f t="shared" ca="1" si="11"/>
        <v>0</v>
      </c>
      <c r="AE34" s="31">
        <f t="shared" ca="1" si="8"/>
        <v>0</v>
      </c>
      <c r="AF34" s="20"/>
    </row>
    <row r="35" spans="1:32" x14ac:dyDescent="0.2">
      <c r="A35">
        <f t="shared" si="3"/>
        <v>8</v>
      </c>
      <c r="B35" s="3">
        <f t="shared" si="4"/>
        <v>6</v>
      </c>
      <c r="C35" s="1" t="str">
        <f t="shared" si="5"/>
        <v>CIMBT</v>
      </c>
      <c r="D35" s="34">
        <f t="shared" si="6"/>
        <v>0</v>
      </c>
      <c r="E35" s="29" t="str">
        <f ca="1">INDIRECT(ADDRESS($A$29+4,A35))</f>
        <v/>
      </c>
      <c r="G35" s="4" t="s">
        <v>64</v>
      </c>
      <c r="O35" s="30"/>
      <c r="P35" s="30"/>
      <c r="Q35" s="30"/>
      <c r="S35" s="2" t="str">
        <f t="shared" si="10"/>
        <v/>
      </c>
      <c r="T35" s="30"/>
      <c r="U35" s="30"/>
      <c r="W35" s="3">
        <v>2</v>
      </c>
      <c r="X35" s="6">
        <v>6</v>
      </c>
      <c r="Y35" s="6">
        <v>1</v>
      </c>
      <c r="Z35" s="6">
        <v>0</v>
      </c>
      <c r="AA35" s="6">
        <f ca="1">IF(SUM(OFFSET(INDIRECT(ADDRESS($A$29,$A35)),1,0,3)) &gt; 0,1,0)</f>
        <v>0</v>
      </c>
      <c r="AB35" s="23" t="s">
        <v>34</v>
      </c>
      <c r="AC35" s="3">
        <f t="shared" si="7"/>
        <v>0</v>
      </c>
      <c r="AD35" s="3">
        <f t="shared" ca="1" si="11"/>
        <v>0</v>
      </c>
      <c r="AE35" s="31">
        <f t="shared" ca="1" si="8"/>
        <v>0</v>
      </c>
      <c r="AF35" s="20"/>
    </row>
    <row r="36" spans="1:32" x14ac:dyDescent="0.2">
      <c r="A36">
        <f t="shared" si="3"/>
        <v>9</v>
      </c>
      <c r="B36" s="3">
        <f t="shared" si="4"/>
        <v>7</v>
      </c>
      <c r="C36" s="1" t="str">
        <f t="shared" si="5"/>
        <v>BAY</v>
      </c>
      <c r="D36" s="34">
        <f t="shared" si="6"/>
        <v>0</v>
      </c>
      <c r="E36" s="29" t="str">
        <f ca="1">INDIRECT(ADDRESS($A$29+4,A36))</f>
        <v/>
      </c>
      <c r="G36" s="27" t="s">
        <v>26</v>
      </c>
      <c r="H36" s="27" t="s">
        <v>66</v>
      </c>
      <c r="I36" s="27" t="s">
        <v>55</v>
      </c>
      <c r="J36" s="27" t="s">
        <v>56</v>
      </c>
      <c r="K36" s="27" t="s">
        <v>57</v>
      </c>
      <c r="L36" s="27" t="s">
        <v>67</v>
      </c>
      <c r="M36" s="27" t="s">
        <v>58</v>
      </c>
      <c r="O36" s="30"/>
      <c r="P36" s="30"/>
      <c r="Q36" s="30"/>
      <c r="S36" s="2" t="str">
        <f t="shared" si="10"/>
        <v/>
      </c>
      <c r="T36" s="30"/>
      <c r="U36" s="30"/>
      <c r="W36" s="3">
        <v>2</v>
      </c>
      <c r="X36" s="6">
        <v>7</v>
      </c>
      <c r="Y36" s="6">
        <v>1</v>
      </c>
      <c r="Z36" s="6">
        <v>0</v>
      </c>
      <c r="AA36" s="6">
        <f ca="1">IF(SUM(OFFSET(INDIRECT(ADDRESS($A$29,$A36)),1,0,3)) &gt; 0,1,0)</f>
        <v>0</v>
      </c>
      <c r="AB36" s="23" t="s">
        <v>35</v>
      </c>
      <c r="AC36" s="3">
        <f t="shared" si="7"/>
        <v>0</v>
      </c>
      <c r="AD36" s="3">
        <f t="shared" ca="1" si="11"/>
        <v>0</v>
      </c>
      <c r="AE36" s="31">
        <f t="shared" ca="1" si="8"/>
        <v>0</v>
      </c>
      <c r="AF36" s="20"/>
    </row>
    <row r="37" spans="1:32" ht="16.5" customHeight="1" x14ac:dyDescent="0.2">
      <c r="A37">
        <f t="shared" si="3"/>
        <v>10</v>
      </c>
      <c r="B37" s="3">
        <f t="shared" si="4"/>
        <v>8</v>
      </c>
      <c r="C37" s="1" t="str">
        <f t="shared" si="5"/>
        <v>SCB</v>
      </c>
      <c r="D37" s="34">
        <f t="shared" si="6"/>
        <v>0</v>
      </c>
      <c r="E37" s="29" t="str">
        <f ca="1">INDIRECT(ADDRESS($A$29+4,A37))</f>
        <v/>
      </c>
      <c r="G37" s="50" t="s">
        <v>27</v>
      </c>
      <c r="H37" s="48">
        <v>43369</v>
      </c>
      <c r="I37" s="29">
        <v>1.47</v>
      </c>
      <c r="J37" s="29">
        <v>1.47</v>
      </c>
      <c r="K37" s="29">
        <v>1.47</v>
      </c>
      <c r="L37" s="49">
        <v>0.36244199999999999</v>
      </c>
      <c r="M37" s="49">
        <v>0.26272899999999999</v>
      </c>
      <c r="O37" s="30"/>
      <c r="P37" s="30"/>
      <c r="Q37" s="30"/>
      <c r="S37" s="2" t="str">
        <f t="shared" si="10"/>
        <v/>
      </c>
      <c r="T37" s="30"/>
      <c r="U37" s="30"/>
      <c r="W37" s="3">
        <v>2</v>
      </c>
      <c r="X37" s="6">
        <v>8</v>
      </c>
      <c r="Y37" s="6">
        <v>1</v>
      </c>
      <c r="Z37" s="6">
        <v>0</v>
      </c>
      <c r="AA37" s="6">
        <f ca="1">IF(SUM(OFFSET(INDIRECT(ADDRESS($A$29,$A37)),1,0,3)) &gt; 0,1,0)</f>
        <v>0</v>
      </c>
      <c r="AB37" s="23" t="s">
        <v>9</v>
      </c>
      <c r="AC37" s="3">
        <f t="shared" si="7"/>
        <v>0</v>
      </c>
      <c r="AD37" s="3">
        <f t="shared" ca="1" si="11"/>
        <v>10000</v>
      </c>
      <c r="AE37" s="21">
        <f t="shared" ca="1" si="8"/>
        <v>0.54347826086956519</v>
      </c>
      <c r="AF37" s="21">
        <f ca="1">SUMIF($W$30:$W$53,$W$37,$AD$30:$AD$53)/$AD$54</f>
        <v>0.54347826086956519</v>
      </c>
    </row>
    <row r="38" spans="1:32" x14ac:dyDescent="0.2">
      <c r="A38">
        <f t="shared" si="3"/>
        <v>11</v>
      </c>
      <c r="B38" s="3">
        <f t="shared" si="4"/>
        <v>9</v>
      </c>
      <c r="C38" s="1" t="str">
        <f t="shared" si="5"/>
        <v>TBANK</v>
      </c>
      <c r="D38" s="34">
        <f t="shared" si="6"/>
        <v>0</v>
      </c>
      <c r="E38" s="29" t="str">
        <f ca="1">INDIRECT(ADDRESS($A$29+4,A38))</f>
        <v/>
      </c>
      <c r="G38" s="50" t="s">
        <v>59</v>
      </c>
      <c r="H38" s="48">
        <v>43369</v>
      </c>
      <c r="I38" s="29">
        <v>1.4950000000000001</v>
      </c>
      <c r="J38" s="29">
        <v>1.4950000000000001</v>
      </c>
      <c r="K38" s="29">
        <v>1.4950000000000001</v>
      </c>
      <c r="L38" s="49">
        <v>0.38137500000000002</v>
      </c>
      <c r="M38" s="49">
        <v>0.29089300000000001</v>
      </c>
      <c r="O38" s="30"/>
      <c r="P38" s="30"/>
      <c r="Q38" s="30"/>
      <c r="S38" s="2" t="str">
        <f t="shared" si="10"/>
        <v/>
      </c>
      <c r="T38" s="30"/>
      <c r="U38" s="30"/>
      <c r="W38" s="3">
        <v>3</v>
      </c>
      <c r="X38" s="6">
        <v>9</v>
      </c>
      <c r="Y38" s="6">
        <v>1</v>
      </c>
      <c r="Z38" s="6">
        <v>0</v>
      </c>
      <c r="AA38" s="6">
        <f ca="1">IF(SUM(OFFSET(INDIRECT(ADDRESS($A$29,$A38)),1,0,3)) &gt; 0,1,0)</f>
        <v>0</v>
      </c>
      <c r="AB38" s="23" t="s">
        <v>36</v>
      </c>
      <c r="AC38" s="3">
        <f t="shared" si="7"/>
        <v>0</v>
      </c>
      <c r="AD38" s="3">
        <f t="shared" ca="1" si="11"/>
        <v>0</v>
      </c>
      <c r="AE38" s="31">
        <f t="shared" ca="1" si="8"/>
        <v>0</v>
      </c>
      <c r="AF38" s="20"/>
    </row>
    <row r="39" spans="1:32" ht="15" thickBot="1" x14ac:dyDescent="0.25">
      <c r="A39">
        <f t="shared" si="3"/>
        <v>12</v>
      </c>
      <c r="B39" s="3">
        <f t="shared" si="4"/>
        <v>10</v>
      </c>
      <c r="C39" s="1" t="str">
        <f t="shared" si="5"/>
        <v>TISCOBANK</v>
      </c>
      <c r="D39" s="34">
        <f t="shared" si="6"/>
        <v>0</v>
      </c>
      <c r="E39" s="29" t="str">
        <f ca="1">INDIRECT(ADDRESS($A$29+4,A39))</f>
        <v/>
      </c>
      <c r="G39" s="50" t="s">
        <v>60</v>
      </c>
      <c r="H39" s="48">
        <v>43369</v>
      </c>
      <c r="I39" s="29">
        <v>1.5</v>
      </c>
      <c r="J39" s="29">
        <v>1.5</v>
      </c>
      <c r="K39" s="29">
        <v>1.5</v>
      </c>
      <c r="L39" s="49">
        <v>0.40032099999999998</v>
      </c>
      <c r="M39" s="49">
        <v>0.32051400000000002</v>
      </c>
      <c r="N39" s="57" t="s">
        <v>68</v>
      </c>
      <c r="O39" s="58">
        <f>H30-P39</f>
        <v>0</v>
      </c>
      <c r="P39" s="35">
        <f>SUM(P30:P38)</f>
        <v>0</v>
      </c>
      <c r="Q39" s="35">
        <f>IFERROR(AVERAGE(Q30:Q38),0)</f>
        <v>0</v>
      </c>
      <c r="R39" s="57" t="s">
        <v>69</v>
      </c>
      <c r="S39" s="58">
        <f>H30-T39</f>
        <v>0</v>
      </c>
      <c r="T39" s="35">
        <f>SUM(T30:T38)</f>
        <v>0</v>
      </c>
      <c r="U39" s="35">
        <f>SUM(U30:U38)</f>
        <v>0</v>
      </c>
      <c r="W39" s="3">
        <v>3</v>
      </c>
      <c r="X39" s="6">
        <v>10</v>
      </c>
      <c r="Y39" s="6">
        <v>1</v>
      </c>
      <c r="Z39" s="6">
        <v>0</v>
      </c>
      <c r="AA39" s="6">
        <f ca="1">IF(SUM(OFFSET(INDIRECT(ADDRESS($A$29,$A39)),1,0,3)) &gt; 0,1,0)</f>
        <v>0</v>
      </c>
      <c r="AB39" s="23" t="s">
        <v>37</v>
      </c>
      <c r="AC39" s="3">
        <f t="shared" si="7"/>
        <v>0</v>
      </c>
      <c r="AD39" s="3">
        <f t="shared" ca="1" si="11"/>
        <v>0</v>
      </c>
      <c r="AE39" s="31">
        <f t="shared" ca="1" si="8"/>
        <v>0</v>
      </c>
      <c r="AF39" s="20"/>
    </row>
    <row r="40" spans="1:32" ht="15" thickTop="1" x14ac:dyDescent="0.2">
      <c r="A40">
        <f t="shared" si="3"/>
        <v>13</v>
      </c>
      <c r="B40" s="3">
        <f t="shared" si="4"/>
        <v>11</v>
      </c>
      <c r="C40" s="1" t="str">
        <f t="shared" si="5"/>
        <v>SCBT</v>
      </c>
      <c r="D40" s="34">
        <f t="shared" si="6"/>
        <v>0</v>
      </c>
      <c r="E40" s="29" t="str">
        <f ca="1">INDIRECT(ADDRESS($A$29+4,A40))</f>
        <v/>
      </c>
      <c r="G40" s="50" t="s">
        <v>61</v>
      </c>
      <c r="H40" s="48">
        <v>43369</v>
      </c>
      <c r="I40" s="29">
        <v>1.52</v>
      </c>
      <c r="J40" s="29">
        <v>1.52</v>
      </c>
      <c r="K40" s="29">
        <v>1.52</v>
      </c>
      <c r="L40" s="49">
        <v>0.41922900000000002</v>
      </c>
      <c r="M40" s="49">
        <v>0.35150599999999999</v>
      </c>
      <c r="W40" s="3">
        <v>3</v>
      </c>
      <c r="X40" s="6">
        <v>11</v>
      </c>
      <c r="Y40" s="6">
        <v>1</v>
      </c>
      <c r="Z40" s="6">
        <v>0</v>
      </c>
      <c r="AA40" s="6">
        <f ca="1">IF(SUM(OFFSET(INDIRECT(ADDRESS($A$29,$A40)),1,0,3)) &gt; 0,1,0)</f>
        <v>0</v>
      </c>
      <c r="AB40" s="23" t="s">
        <v>38</v>
      </c>
      <c r="AC40" s="3">
        <f t="shared" si="7"/>
        <v>0</v>
      </c>
      <c r="AD40" s="3">
        <f t="shared" ca="1" si="11"/>
        <v>0</v>
      </c>
      <c r="AE40" s="31">
        <f t="shared" ca="1" si="8"/>
        <v>0</v>
      </c>
      <c r="AF40" s="20"/>
    </row>
    <row r="41" spans="1:32" x14ac:dyDescent="0.2">
      <c r="A41">
        <f t="shared" si="3"/>
        <v>14</v>
      </c>
      <c r="B41" s="3">
        <f t="shared" si="4"/>
        <v>12</v>
      </c>
      <c r="C41" s="1" t="str">
        <f t="shared" si="5"/>
        <v>HSBC</v>
      </c>
      <c r="D41" s="34">
        <f t="shared" si="6"/>
        <v>0</v>
      </c>
      <c r="E41" s="29" t="str">
        <f ca="1">INDIRECT(ADDRESS($A$29+4,A41))</f>
        <v/>
      </c>
      <c r="G41" s="50"/>
      <c r="H41" s="48"/>
      <c r="I41" s="29"/>
      <c r="J41" s="29"/>
      <c r="K41" s="29"/>
      <c r="L41" s="49"/>
      <c r="M41" s="49"/>
      <c r="O41" s="39" t="str">
        <f>"Auction Excute : " &amp;G31</f>
        <v xml:space="preserve">Auction Excute : </v>
      </c>
      <c r="S41" s="4" t="s">
        <v>19</v>
      </c>
      <c r="W41" s="3">
        <v>3</v>
      </c>
      <c r="X41" s="6">
        <v>12</v>
      </c>
      <c r="Y41" s="6">
        <v>1</v>
      </c>
      <c r="Z41" s="6">
        <v>0</v>
      </c>
      <c r="AA41" s="6">
        <f ca="1">IF(SUM(OFFSET(INDIRECT(ADDRESS($A$29,$A41)),1,0,3)) &gt; 0,1,0)</f>
        <v>0</v>
      </c>
      <c r="AB41" s="23" t="s">
        <v>16</v>
      </c>
      <c r="AC41" s="3">
        <f t="shared" si="7"/>
        <v>0</v>
      </c>
      <c r="AD41" s="3">
        <f t="shared" ca="1" si="11"/>
        <v>0</v>
      </c>
      <c r="AE41" s="31">
        <f t="shared" ca="1" si="8"/>
        <v>0</v>
      </c>
      <c r="AF41" s="20"/>
    </row>
    <row r="42" spans="1:32" x14ac:dyDescent="0.2">
      <c r="A42">
        <f t="shared" si="3"/>
        <v>15</v>
      </c>
      <c r="B42" s="3">
        <f t="shared" si="4"/>
        <v>13</v>
      </c>
      <c r="C42" s="1" t="str">
        <f t="shared" si="5"/>
        <v>CITIBANK</v>
      </c>
      <c r="D42" s="34">
        <f t="shared" si="6"/>
        <v>0</v>
      </c>
      <c r="E42" s="29" t="str">
        <f ca="1">INDIRECT(ADDRESS($A$29+4,A42))</f>
        <v/>
      </c>
      <c r="G42" s="50"/>
      <c r="H42" s="48"/>
      <c r="I42" s="29"/>
      <c r="J42" s="29"/>
      <c r="K42" s="29"/>
      <c r="L42" s="49"/>
      <c r="M42" s="49"/>
      <c r="O42" s="33" t="s">
        <v>0</v>
      </c>
      <c r="P42" s="33" t="s">
        <v>4</v>
      </c>
      <c r="Q42" s="33" t="s">
        <v>25</v>
      </c>
      <c r="S42" s="33" t="s">
        <v>0</v>
      </c>
      <c r="T42" s="33" t="s">
        <v>4</v>
      </c>
      <c r="U42" s="33" t="s">
        <v>25</v>
      </c>
      <c r="W42" s="3">
        <v>3</v>
      </c>
      <c r="X42" s="6">
        <v>13</v>
      </c>
      <c r="Y42" s="6">
        <v>1</v>
      </c>
      <c r="Z42" s="6">
        <v>0</v>
      </c>
      <c r="AA42" s="6">
        <f ca="1">IF(SUM(OFFSET(INDIRECT(ADDRESS($A$29,$A42)),1,0,3)) &gt; 0,1,0)</f>
        <v>0</v>
      </c>
      <c r="AB42" s="23" t="s">
        <v>39</v>
      </c>
      <c r="AC42" s="3">
        <f t="shared" si="7"/>
        <v>0</v>
      </c>
      <c r="AD42" s="3">
        <f t="shared" ca="1" si="11"/>
        <v>0</v>
      </c>
      <c r="AE42" s="31">
        <f t="shared" ca="1" si="8"/>
        <v>0</v>
      </c>
      <c r="AF42" s="20"/>
    </row>
    <row r="43" spans="1:32" x14ac:dyDescent="0.2">
      <c r="A43">
        <f t="shared" si="3"/>
        <v>16</v>
      </c>
      <c r="B43" s="3">
        <f t="shared" si="4"/>
        <v>14</v>
      </c>
      <c r="C43" s="1" t="str">
        <f t="shared" si="5"/>
        <v>KKP</v>
      </c>
      <c r="D43" s="34">
        <f t="shared" si="6"/>
        <v>0</v>
      </c>
      <c r="E43" s="29" t="str">
        <f ca="1">INDIRECT(ADDRESS($A$29+4,A43))</f>
        <v/>
      </c>
      <c r="G43" s="50"/>
      <c r="H43" s="48"/>
      <c r="I43" s="29"/>
      <c r="J43" s="29"/>
      <c r="K43" s="29"/>
      <c r="L43" s="49"/>
      <c r="M43" s="49"/>
      <c r="O43" s="30"/>
      <c r="P43" s="30"/>
      <c r="Q43" s="14"/>
      <c r="S43" s="2" t="str">
        <f>IF(ISBLANK(O43),"",O43)</f>
        <v/>
      </c>
      <c r="T43" s="30"/>
      <c r="U43" s="14"/>
      <c r="W43" s="3">
        <v>3</v>
      </c>
      <c r="X43" s="6">
        <v>14</v>
      </c>
      <c r="Y43" s="6">
        <v>1</v>
      </c>
      <c r="Z43" s="6">
        <v>0</v>
      </c>
      <c r="AA43" s="6">
        <f ca="1">IF(SUM(OFFSET(INDIRECT(ADDRESS($A$29,$A43)),1,0,3)) &gt; 0,1,0)</f>
        <v>0</v>
      </c>
      <c r="AB43" s="23" t="s">
        <v>40</v>
      </c>
      <c r="AC43" s="3">
        <f t="shared" si="7"/>
        <v>0</v>
      </c>
      <c r="AD43" s="3">
        <f t="shared" ca="1" si="11"/>
        <v>0</v>
      </c>
      <c r="AE43" s="31">
        <f t="shared" ca="1" si="8"/>
        <v>0</v>
      </c>
      <c r="AF43" s="20"/>
    </row>
    <row r="44" spans="1:32" x14ac:dyDescent="0.2">
      <c r="A44">
        <f t="shared" si="3"/>
        <v>17</v>
      </c>
      <c r="B44" s="3">
        <f t="shared" si="4"/>
        <v>15</v>
      </c>
      <c r="C44" s="1" t="str">
        <f t="shared" si="5"/>
        <v>UOBT</v>
      </c>
      <c r="D44" s="34">
        <f t="shared" si="6"/>
        <v>0</v>
      </c>
      <c r="E44" s="29" t="str">
        <f ca="1">INDIRECT(ADDRESS($A$29+4,A44))</f>
        <v/>
      </c>
      <c r="G44" s="50"/>
      <c r="H44" s="48"/>
      <c r="I44" s="29"/>
      <c r="J44" s="29"/>
      <c r="K44" s="29"/>
      <c r="L44" s="49"/>
      <c r="M44" s="49"/>
      <c r="O44" s="30"/>
      <c r="P44" s="30"/>
      <c r="Q44" s="30"/>
      <c r="S44" s="2" t="str">
        <f t="shared" ref="S44:S51" si="12">IF(ISBLANK(O44),"",O44)</f>
        <v/>
      </c>
      <c r="T44" s="30"/>
      <c r="U44" s="30"/>
      <c r="W44" s="3">
        <v>3</v>
      </c>
      <c r="X44" s="6">
        <v>15</v>
      </c>
      <c r="Y44" s="6">
        <v>1</v>
      </c>
      <c r="Z44" s="6">
        <v>0</v>
      </c>
      <c r="AA44" s="6">
        <f ca="1">IF(SUM(OFFSET(INDIRECT(ADDRESS($A$29,$A44)),1,0,3)) &gt; 0,1,0)</f>
        <v>0</v>
      </c>
      <c r="AB44" s="23" t="s">
        <v>41</v>
      </c>
      <c r="AC44" s="3">
        <f t="shared" si="7"/>
        <v>0</v>
      </c>
      <c r="AD44" s="3">
        <f t="shared" ca="1" si="11"/>
        <v>0</v>
      </c>
      <c r="AE44" s="31">
        <f t="shared" ca="1" si="8"/>
        <v>0</v>
      </c>
      <c r="AF44" s="20"/>
    </row>
    <row r="45" spans="1:32" x14ac:dyDescent="0.2">
      <c r="A45">
        <f t="shared" si="3"/>
        <v>18</v>
      </c>
      <c r="B45" s="3">
        <f t="shared" si="4"/>
        <v>16</v>
      </c>
      <c r="C45" s="1" t="str">
        <f t="shared" si="5"/>
        <v>GSB</v>
      </c>
      <c r="D45" s="34">
        <f t="shared" si="6"/>
        <v>0</v>
      </c>
      <c r="E45" s="29" t="str">
        <f ca="1">INDIRECT(ADDRESS($A$29+4,A45))</f>
        <v/>
      </c>
      <c r="G45" s="50"/>
      <c r="H45" s="48"/>
      <c r="I45" s="29"/>
      <c r="J45" s="29"/>
      <c r="K45" s="29"/>
      <c r="L45" s="49"/>
      <c r="M45" s="49"/>
      <c r="O45" s="30"/>
      <c r="P45" s="30"/>
      <c r="Q45" s="30"/>
      <c r="S45" s="2" t="str">
        <f t="shared" si="12"/>
        <v/>
      </c>
      <c r="T45" s="30"/>
      <c r="U45" s="30"/>
      <c r="W45" s="3">
        <v>3</v>
      </c>
      <c r="X45" s="6">
        <v>16</v>
      </c>
      <c r="Y45" s="6">
        <v>1</v>
      </c>
      <c r="Z45" s="6">
        <v>0</v>
      </c>
      <c r="AA45" s="6">
        <f ca="1">IF(SUM(OFFSET(INDIRECT(ADDRESS($A$29,$A45)),1,0,3)) &gt; 0,1,0)</f>
        <v>0</v>
      </c>
      <c r="AB45" s="23" t="s">
        <v>15</v>
      </c>
      <c r="AC45" s="3">
        <f t="shared" si="7"/>
        <v>0</v>
      </c>
      <c r="AD45" s="3">
        <f t="shared" ca="1" si="11"/>
        <v>0</v>
      </c>
      <c r="AE45" s="31">
        <f t="shared" ca="1" si="8"/>
        <v>0</v>
      </c>
      <c r="AF45" s="20"/>
    </row>
    <row r="46" spans="1:32" x14ac:dyDescent="0.2">
      <c r="A46">
        <f t="shared" si="3"/>
        <v>19</v>
      </c>
      <c r="B46" s="3">
        <f t="shared" si="4"/>
        <v>17</v>
      </c>
      <c r="C46" s="1" t="str">
        <f t="shared" si="5"/>
        <v>KGI</v>
      </c>
      <c r="D46" s="34">
        <f t="shared" si="6"/>
        <v>0</v>
      </c>
      <c r="E46" s="29" t="str">
        <f ca="1">INDIRECT(ADDRESS($A$29+4,A46))</f>
        <v/>
      </c>
      <c r="G46" s="50"/>
      <c r="H46" s="48"/>
      <c r="I46" s="29"/>
      <c r="J46" s="29"/>
      <c r="K46" s="29"/>
      <c r="L46" s="49"/>
      <c r="M46" s="49"/>
      <c r="O46" s="30"/>
      <c r="P46" s="30"/>
      <c r="Q46" s="30"/>
      <c r="S46" s="2" t="str">
        <f t="shared" si="12"/>
        <v/>
      </c>
      <c r="T46" s="30"/>
      <c r="U46" s="30"/>
      <c r="W46" s="3">
        <v>3</v>
      </c>
      <c r="X46" s="6">
        <v>17</v>
      </c>
      <c r="Y46" s="6">
        <v>1</v>
      </c>
      <c r="Z46" s="6">
        <v>0</v>
      </c>
      <c r="AA46" s="6">
        <f ca="1">IF(SUM(OFFSET(INDIRECT(ADDRESS($A$29,$A46)),1,0,3)) &gt; 0,1,0)</f>
        <v>0</v>
      </c>
      <c r="AB46" s="23" t="s">
        <v>42</v>
      </c>
      <c r="AC46" s="3">
        <f t="shared" si="7"/>
        <v>0</v>
      </c>
      <c r="AD46" s="3">
        <f t="shared" ca="1" si="11"/>
        <v>0</v>
      </c>
      <c r="AE46" s="31">
        <f t="shared" ca="1" si="8"/>
        <v>0</v>
      </c>
      <c r="AF46" s="20"/>
    </row>
    <row r="47" spans="1:32" x14ac:dyDescent="0.2">
      <c r="A47">
        <f t="shared" si="3"/>
        <v>20</v>
      </c>
      <c r="B47" s="3">
        <f t="shared" si="4"/>
        <v>18</v>
      </c>
      <c r="C47" s="1" t="str">
        <f t="shared" si="5"/>
        <v>BAML</v>
      </c>
      <c r="D47" s="34">
        <f t="shared" si="6"/>
        <v>0</v>
      </c>
      <c r="E47" s="29" t="str">
        <f ca="1">INDIRECT(ADDRESS($A$29+4,A47))</f>
        <v/>
      </c>
      <c r="G47" s="50"/>
      <c r="H47" s="48"/>
      <c r="I47" s="29"/>
      <c r="J47" s="29"/>
      <c r="K47" s="29"/>
      <c r="L47" s="49"/>
      <c r="M47" s="49"/>
      <c r="O47" s="30"/>
      <c r="P47" s="30"/>
      <c r="Q47" s="30"/>
      <c r="S47" s="2" t="str">
        <f t="shared" si="12"/>
        <v/>
      </c>
      <c r="T47" s="30"/>
      <c r="U47" s="30"/>
      <c r="W47" s="3">
        <v>3</v>
      </c>
      <c r="X47" s="6">
        <v>18</v>
      </c>
      <c r="Y47" s="6">
        <v>1</v>
      </c>
      <c r="Z47" s="6">
        <v>0</v>
      </c>
      <c r="AA47" s="6">
        <f ca="1">IF(SUM(OFFSET(INDIRECT(ADDRESS($A$29,$A47)),1,0,3)) &gt; 0,1,0)</f>
        <v>0</v>
      </c>
      <c r="AB47" s="23" t="s">
        <v>43</v>
      </c>
      <c r="AC47" s="3">
        <f t="shared" si="7"/>
        <v>0</v>
      </c>
      <c r="AD47" s="3">
        <f t="shared" ca="1" si="11"/>
        <v>0</v>
      </c>
      <c r="AE47" s="31">
        <f t="shared" ca="1" si="8"/>
        <v>0</v>
      </c>
      <c r="AF47" s="20"/>
    </row>
    <row r="48" spans="1:32" x14ac:dyDescent="0.2">
      <c r="A48">
        <f t="shared" si="3"/>
        <v>21</v>
      </c>
      <c r="B48" s="3">
        <f t="shared" si="4"/>
        <v>19</v>
      </c>
      <c r="C48" s="1" t="str">
        <f t="shared" si="5"/>
        <v>JP_MORGAN</v>
      </c>
      <c r="D48" s="34">
        <f t="shared" si="6"/>
        <v>0</v>
      </c>
      <c r="E48" s="29" t="str">
        <f ca="1">INDIRECT(ADDRESS($A$29+4,A48))</f>
        <v/>
      </c>
      <c r="G48" s="50"/>
      <c r="H48" s="48"/>
      <c r="I48" s="29"/>
      <c r="J48" s="29"/>
      <c r="K48" s="29"/>
      <c r="L48" s="49"/>
      <c r="M48" s="49"/>
      <c r="O48" s="30"/>
      <c r="P48" s="30"/>
      <c r="Q48" s="30"/>
      <c r="S48" s="2" t="str">
        <f t="shared" si="12"/>
        <v/>
      </c>
      <c r="T48" s="30"/>
      <c r="U48" s="30"/>
      <c r="W48" s="3">
        <v>3</v>
      </c>
      <c r="X48" s="6">
        <v>19</v>
      </c>
      <c r="Y48" s="6">
        <v>1</v>
      </c>
      <c r="Z48" s="6">
        <v>0</v>
      </c>
      <c r="AA48" s="6">
        <f ca="1">IF(SUM(OFFSET(INDIRECT(ADDRESS($A$29,$A48)),1,0,3)) &gt; 0,1,0)</f>
        <v>0</v>
      </c>
      <c r="AB48" s="23" t="s">
        <v>44</v>
      </c>
      <c r="AC48" s="3">
        <f t="shared" si="7"/>
        <v>0</v>
      </c>
      <c r="AD48" s="3">
        <f t="shared" ca="1" si="11"/>
        <v>0</v>
      </c>
      <c r="AE48" s="31">
        <f t="shared" ca="1" si="8"/>
        <v>0</v>
      </c>
      <c r="AF48" s="20"/>
    </row>
    <row r="49" spans="1:32" x14ac:dyDescent="0.2">
      <c r="A49">
        <f t="shared" si="3"/>
        <v>22</v>
      </c>
      <c r="B49" s="3">
        <f t="shared" si="4"/>
        <v>20</v>
      </c>
      <c r="C49" s="1" t="str">
        <f t="shared" si="5"/>
        <v>ANZT</v>
      </c>
      <c r="D49" s="34">
        <f t="shared" si="6"/>
        <v>0</v>
      </c>
      <c r="E49" s="29" t="str">
        <f ca="1">INDIRECT(ADDRESS($A$29+4,A49))</f>
        <v/>
      </c>
      <c r="G49" s="50"/>
      <c r="H49" s="48"/>
      <c r="I49" s="29"/>
      <c r="J49" s="29"/>
      <c r="K49" s="29"/>
      <c r="L49" s="49"/>
      <c r="M49" s="49"/>
      <c r="O49" s="30"/>
      <c r="P49" s="30"/>
      <c r="Q49" s="30"/>
      <c r="S49" s="2" t="str">
        <f t="shared" si="12"/>
        <v/>
      </c>
      <c r="T49" s="30"/>
      <c r="U49" s="30"/>
      <c r="W49" s="3">
        <v>3</v>
      </c>
      <c r="X49" s="6">
        <v>20</v>
      </c>
      <c r="Y49" s="6">
        <v>1</v>
      </c>
      <c r="Z49" s="6">
        <v>0</v>
      </c>
      <c r="AA49" s="6">
        <f ca="1">IF(SUM(OFFSET(INDIRECT(ADDRESS($A$29,$A49)),1,0,3)) &gt; 0,1,0)</f>
        <v>0</v>
      </c>
      <c r="AB49" s="23" t="s">
        <v>45</v>
      </c>
      <c r="AC49" s="3">
        <f t="shared" si="7"/>
        <v>0</v>
      </c>
      <c r="AD49" s="3">
        <f t="shared" ca="1" si="11"/>
        <v>0</v>
      </c>
      <c r="AE49" s="31">
        <f t="shared" ca="1" si="8"/>
        <v>0</v>
      </c>
      <c r="AF49" s="20"/>
    </row>
    <row r="50" spans="1:32" x14ac:dyDescent="0.2">
      <c r="A50">
        <f t="shared" si="3"/>
        <v>23</v>
      </c>
      <c r="B50" s="3">
        <f t="shared" si="4"/>
        <v>21</v>
      </c>
      <c r="C50" s="1" t="str">
        <f t="shared" si="5"/>
        <v>DEUTSCHE_BANK</v>
      </c>
      <c r="D50" s="34">
        <f t="shared" si="6"/>
        <v>0</v>
      </c>
      <c r="E50" s="29" t="str">
        <f ca="1">INDIRECT(ADDRESS($A$29+4,A50))</f>
        <v/>
      </c>
      <c r="G50" s="50"/>
      <c r="H50" s="48"/>
      <c r="I50" s="29"/>
      <c r="J50" s="29"/>
      <c r="K50" s="29"/>
      <c r="L50" s="49"/>
      <c r="M50" s="49"/>
      <c r="O50" s="30"/>
      <c r="P50" s="30"/>
      <c r="Q50" s="30"/>
      <c r="S50" s="2" t="str">
        <f t="shared" si="12"/>
        <v/>
      </c>
      <c r="T50" s="30"/>
      <c r="U50" s="30"/>
      <c r="W50" s="3">
        <v>3</v>
      </c>
      <c r="X50" s="6">
        <v>21</v>
      </c>
      <c r="Y50" s="6">
        <v>1</v>
      </c>
      <c r="Z50" s="6">
        <v>0</v>
      </c>
      <c r="AA50" s="6">
        <f ca="1">IF(SUM(OFFSET(INDIRECT(ADDRESS($A$29,$A50)),1,0,3)) &gt; 0,1,0)</f>
        <v>0</v>
      </c>
      <c r="AB50" s="23" t="s">
        <v>46</v>
      </c>
      <c r="AC50" s="3">
        <f t="shared" si="7"/>
        <v>0</v>
      </c>
      <c r="AD50" s="3">
        <f t="shared" ca="1" si="11"/>
        <v>0</v>
      </c>
      <c r="AE50" s="31">
        <f t="shared" ca="1" si="8"/>
        <v>0</v>
      </c>
      <c r="AF50" s="20"/>
    </row>
    <row r="51" spans="1:32" x14ac:dyDescent="0.2">
      <c r="A51">
        <f t="shared" si="3"/>
        <v>24</v>
      </c>
      <c r="B51" s="3">
        <f t="shared" si="4"/>
        <v>22</v>
      </c>
      <c r="C51" s="1" t="str">
        <f t="shared" si="5"/>
        <v>CNS</v>
      </c>
      <c r="D51" s="34">
        <f t="shared" si="6"/>
        <v>0</v>
      </c>
      <c r="E51" s="29" t="str">
        <f ca="1">INDIRECT(ADDRESS($A$29+4,A51))</f>
        <v/>
      </c>
      <c r="O51" s="30"/>
      <c r="P51" s="30"/>
      <c r="Q51" s="30"/>
      <c r="S51" s="2" t="str">
        <f t="shared" si="12"/>
        <v/>
      </c>
      <c r="T51" s="30"/>
      <c r="U51" s="30"/>
      <c r="W51" s="3">
        <v>3</v>
      </c>
      <c r="X51" s="6">
        <v>22</v>
      </c>
      <c r="Y51" s="6">
        <v>1</v>
      </c>
      <c r="Z51" s="6">
        <v>0</v>
      </c>
      <c r="AA51" s="6">
        <f ca="1">IF(SUM(OFFSET(INDIRECT(ADDRESS($A$29,$A51)),1,0,3)) &gt; 0,1,0)</f>
        <v>0</v>
      </c>
      <c r="AB51" s="23" t="s">
        <v>47</v>
      </c>
      <c r="AC51" s="3">
        <f t="shared" si="7"/>
        <v>0</v>
      </c>
      <c r="AD51" s="3">
        <f t="shared" ca="1" si="11"/>
        <v>0</v>
      </c>
      <c r="AE51" s="31">
        <f t="shared" ca="1" si="8"/>
        <v>0</v>
      </c>
      <c r="AF51" s="20"/>
    </row>
    <row r="52" spans="1:32" ht="15" thickBot="1" x14ac:dyDescent="0.25">
      <c r="A52">
        <f t="shared" si="3"/>
        <v>25</v>
      </c>
      <c r="B52" s="3">
        <f t="shared" si="4"/>
        <v>23</v>
      </c>
      <c r="C52" s="1" t="str">
        <f t="shared" si="5"/>
        <v>PHATRA</v>
      </c>
      <c r="D52" s="34">
        <f t="shared" si="6"/>
        <v>0</v>
      </c>
      <c r="E52" s="29" t="str">
        <f ca="1">INDIRECT(ADDRESS($A$29+4,A52))</f>
        <v/>
      </c>
      <c r="N52" s="57" t="s">
        <v>68</v>
      </c>
      <c r="O52" s="58">
        <f>H31-P52</f>
        <v>0</v>
      </c>
      <c r="P52" s="35">
        <f>SUM(P43:P51)</f>
        <v>0</v>
      </c>
      <c r="Q52" s="35">
        <f>SUM(Q43:Q51)</f>
        <v>0</v>
      </c>
      <c r="R52" s="57" t="s">
        <v>69</v>
      </c>
      <c r="S52" s="58">
        <f>H31-T52</f>
        <v>0</v>
      </c>
      <c r="T52" s="35">
        <f>SUM(T43:T51)</f>
        <v>0</v>
      </c>
      <c r="U52" s="35">
        <f>SUM(U43:U51)</f>
        <v>0</v>
      </c>
      <c r="W52" s="3">
        <v>3</v>
      </c>
      <c r="X52" s="6">
        <v>23</v>
      </c>
      <c r="Y52" s="6">
        <v>1</v>
      </c>
      <c r="Z52" s="6">
        <v>0</v>
      </c>
      <c r="AA52" s="6">
        <f ca="1">IF(SUM(OFFSET(INDIRECT(ADDRESS($A$29,$A52)),1,0,3)) &gt; 0,1,0)</f>
        <v>0</v>
      </c>
      <c r="AB52" s="23" t="s">
        <v>48</v>
      </c>
      <c r="AC52" s="3">
        <f t="shared" si="7"/>
        <v>0</v>
      </c>
      <c r="AD52" s="3">
        <f t="shared" ca="1" si="11"/>
        <v>0</v>
      </c>
      <c r="AE52" s="31">
        <f t="shared" ca="1" si="8"/>
        <v>0</v>
      </c>
      <c r="AF52" s="20"/>
    </row>
    <row r="53" spans="1:32" ht="15" thickTop="1" x14ac:dyDescent="0.2">
      <c r="A53">
        <f t="shared" si="3"/>
        <v>26</v>
      </c>
      <c r="B53" s="3">
        <f t="shared" si="4"/>
        <v>24</v>
      </c>
      <c r="C53" s="1" t="str">
        <f t="shared" si="5"/>
        <v>MBKET</v>
      </c>
      <c r="D53" s="34">
        <f t="shared" si="6"/>
        <v>0</v>
      </c>
      <c r="E53" s="29" t="str">
        <f ca="1">INDIRECT(ADDRESS($A$29+4,A53))</f>
        <v/>
      </c>
      <c r="W53" s="3">
        <v>3</v>
      </c>
      <c r="X53" s="6">
        <v>24</v>
      </c>
      <c r="Y53" s="6">
        <v>1</v>
      </c>
      <c r="Z53" s="6">
        <v>0</v>
      </c>
      <c r="AA53" s="6">
        <f ca="1">IF(SUM(OFFSET(INDIRECT(ADDRESS($A$29,$A53)),1,0,3)) &gt; 0,1,0)</f>
        <v>0</v>
      </c>
      <c r="AB53" s="23" t="s">
        <v>49</v>
      </c>
      <c r="AC53" s="3">
        <f t="shared" si="7"/>
        <v>0</v>
      </c>
      <c r="AD53" s="3">
        <f t="shared" ca="1" si="11"/>
        <v>0</v>
      </c>
      <c r="AE53" s="21">
        <f t="shared" ca="1" si="8"/>
        <v>0</v>
      </c>
      <c r="AF53" s="21">
        <f ca="1">SUMIF($W$30:$W$53,$W$53,$AD$30:$AD$53)/$AD$54</f>
        <v>0</v>
      </c>
    </row>
    <row r="54" spans="1:32" ht="15" thickBot="1" x14ac:dyDescent="0.25">
      <c r="D54" s="35">
        <f>SUM(D30:D53)</f>
        <v>0</v>
      </c>
      <c r="E54" s="36" t="str">
        <f ca="1">IFERROR(AVERAGE(E30:E53),"")</f>
        <v/>
      </c>
      <c r="O54" s="40" t="str">
        <f>"Auction Excute : " &amp;G32</f>
        <v xml:space="preserve">Auction Excute : </v>
      </c>
      <c r="S54" s="4" t="s">
        <v>19</v>
      </c>
      <c r="AB54" s="8" t="s">
        <v>18</v>
      </c>
      <c r="AC54" s="9">
        <f>SUM(AC30:AC53)</f>
        <v>0</v>
      </c>
      <c r="AD54" s="22">
        <f ca="1">SUM(AD30:AD53)</f>
        <v>18400</v>
      </c>
    </row>
    <row r="55" spans="1:32" ht="15" thickTop="1" x14ac:dyDescent="0.2">
      <c r="A55" s="63" t="s">
        <v>72</v>
      </c>
      <c r="G55" s="4" t="s">
        <v>70</v>
      </c>
      <c r="J55" s="54" t="s">
        <v>25</v>
      </c>
      <c r="K55" s="55"/>
      <c r="L55" s="56"/>
      <c r="O55" s="33" t="s">
        <v>0</v>
      </c>
      <c r="P55" s="33" t="s">
        <v>4</v>
      </c>
      <c r="Q55" s="33" t="s">
        <v>25</v>
      </c>
      <c r="S55" s="33" t="s">
        <v>0</v>
      </c>
      <c r="T55" s="33" t="s">
        <v>4</v>
      </c>
      <c r="U55" s="33" t="s">
        <v>25</v>
      </c>
    </row>
    <row r="56" spans="1:32" x14ac:dyDescent="0.2">
      <c r="B56" s="4" t="s">
        <v>29</v>
      </c>
      <c r="G56" s="33" t="s">
        <v>26</v>
      </c>
      <c r="H56" s="45" t="s">
        <v>18</v>
      </c>
      <c r="I56" s="45" t="s">
        <v>21</v>
      </c>
      <c r="J56" s="33" t="s">
        <v>6</v>
      </c>
      <c r="K56" s="33" t="s">
        <v>7</v>
      </c>
      <c r="L56" s="33" t="s">
        <v>8</v>
      </c>
      <c r="O56" s="30"/>
      <c r="P56" s="30"/>
      <c r="Q56" s="14"/>
      <c r="S56" s="2" t="str">
        <f>IF(ISBLANK(O56),"",O56)</f>
        <v/>
      </c>
      <c r="T56" s="30"/>
      <c r="U56" s="14"/>
    </row>
    <row r="57" spans="1:32" x14ac:dyDescent="0.2">
      <c r="B57" t="s">
        <v>30</v>
      </c>
      <c r="C57" s="11">
        <v>1</v>
      </c>
      <c r="G57" s="41">
        <f>G30</f>
        <v>0</v>
      </c>
      <c r="H57" s="14"/>
      <c r="I57" s="14"/>
      <c r="J57" s="14"/>
      <c r="K57" s="14"/>
      <c r="L57" s="14"/>
      <c r="O57" s="30"/>
      <c r="P57" s="30"/>
      <c r="Q57" s="30"/>
      <c r="S57" s="2" t="str">
        <f t="shared" ref="S57:S64" si="13">IF(ISBLANK(O57),"",O57)</f>
        <v/>
      </c>
      <c r="T57" s="30"/>
      <c r="U57" s="30"/>
    </row>
    <row r="58" spans="1:32" x14ac:dyDescent="0.2">
      <c r="B58" t="s">
        <v>31</v>
      </c>
      <c r="C58" s="11">
        <v>0.4</v>
      </c>
      <c r="G58" s="42">
        <f>G31</f>
        <v>0</v>
      </c>
      <c r="H58" s="14"/>
      <c r="I58" s="14"/>
      <c r="J58" s="14"/>
      <c r="K58" s="14"/>
      <c r="L58" s="14"/>
      <c r="O58" s="30"/>
      <c r="P58" s="30"/>
      <c r="Q58" s="30"/>
      <c r="S58" s="2" t="str">
        <f t="shared" si="13"/>
        <v/>
      </c>
      <c r="T58" s="30"/>
      <c r="U58" s="30"/>
    </row>
    <row r="59" spans="1:32" x14ac:dyDescent="0.2">
      <c r="B59" t="s">
        <v>32</v>
      </c>
      <c r="C59" s="11">
        <v>0.1</v>
      </c>
      <c r="G59" s="43">
        <f>G32</f>
        <v>0</v>
      </c>
      <c r="H59" s="14"/>
      <c r="I59" s="14"/>
      <c r="J59" s="14"/>
      <c r="K59" s="14"/>
      <c r="L59" s="14"/>
      <c r="O59" s="30"/>
      <c r="P59" s="30"/>
      <c r="Q59" s="30"/>
      <c r="S59" s="2" t="str">
        <f t="shared" si="13"/>
        <v/>
      </c>
      <c r="T59" s="30"/>
      <c r="U59" s="30"/>
    </row>
    <row r="60" spans="1:32" x14ac:dyDescent="0.2">
      <c r="O60" s="30"/>
      <c r="P60" s="30"/>
      <c r="Q60" s="30"/>
      <c r="S60" s="2" t="str">
        <f t="shared" si="13"/>
        <v/>
      </c>
      <c r="T60" s="30"/>
      <c r="U60" s="30"/>
    </row>
    <row r="61" spans="1:32" x14ac:dyDescent="0.2">
      <c r="O61" s="30"/>
      <c r="P61" s="30"/>
      <c r="Q61" s="30"/>
      <c r="S61" s="2" t="str">
        <f t="shared" si="13"/>
        <v/>
      </c>
      <c r="T61" s="30"/>
      <c r="U61" s="30"/>
    </row>
    <row r="62" spans="1:32" x14ac:dyDescent="0.2">
      <c r="O62" s="30"/>
      <c r="P62" s="30"/>
      <c r="Q62" s="30"/>
      <c r="S62" s="2" t="str">
        <f t="shared" si="13"/>
        <v/>
      </c>
      <c r="T62" s="30"/>
      <c r="U62" s="30"/>
    </row>
    <row r="63" spans="1:32" x14ac:dyDescent="0.2">
      <c r="O63" s="30"/>
      <c r="P63" s="30"/>
      <c r="Q63" s="30"/>
      <c r="S63" s="2" t="str">
        <f t="shared" si="13"/>
        <v/>
      </c>
      <c r="T63" s="30"/>
      <c r="U63" s="30"/>
    </row>
    <row r="64" spans="1:32" x14ac:dyDescent="0.2">
      <c r="O64" s="30"/>
      <c r="P64" s="30"/>
      <c r="Q64" s="30"/>
      <c r="S64" s="2" t="str">
        <f t="shared" si="13"/>
        <v/>
      </c>
      <c r="T64" s="30"/>
      <c r="U64" s="30"/>
    </row>
    <row r="65" spans="14:21" ht="15" thickBot="1" x14ac:dyDescent="0.25">
      <c r="N65" s="57" t="s">
        <v>68</v>
      </c>
      <c r="O65" s="58">
        <f>H32-P65</f>
        <v>0</v>
      </c>
      <c r="P65" s="35">
        <f>SUM(P56:P64)</f>
        <v>0</v>
      </c>
      <c r="Q65" s="35">
        <f>SUM(Q56:Q64)</f>
        <v>0</v>
      </c>
      <c r="R65" s="57" t="s">
        <v>69</v>
      </c>
      <c r="S65" s="58">
        <f>H32-T65</f>
        <v>0</v>
      </c>
      <c r="T65" s="35">
        <f>SUM(T56:T64)</f>
        <v>0</v>
      </c>
      <c r="U65" s="35">
        <f>SUM(U56:U64)</f>
        <v>0</v>
      </c>
    </row>
    <row r="66" spans="14:21" ht="15" thickTop="1" x14ac:dyDescent="0.2"/>
  </sheetData>
  <mergeCells count="4">
    <mergeCell ref="B2:AC2"/>
    <mergeCell ref="B9:AC9"/>
    <mergeCell ref="B16:AC16"/>
    <mergeCell ref="J55:L55"/>
  </mergeCells>
  <conditionalFormatting sqref="C7:Z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2">
    <cfRule type="cellIs" dxfId="23" priority="24" operator="greaterThan">
      <formula>0.5</formula>
    </cfRule>
    <cfRule type="cellIs" dxfId="22" priority="25" operator="lessThan">
      <formula>0.5</formula>
    </cfRule>
  </conditionalFormatting>
  <conditionalFormatting sqref="C14:Z1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:Z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0:AE53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{17DF5B48-0A25-4B04-8CCB-8336683FA82F}</x14:id>
        </ext>
      </extLst>
    </cfRule>
  </conditionalFormatting>
  <conditionalFormatting sqref="E30:E5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21" priority="29" operator="lessThan">
      <formula>$C$59</formula>
    </cfRule>
    <cfRule type="cellIs" dxfId="20" priority="30" operator="greaterThan">
      <formula>$C$59</formula>
    </cfRule>
  </conditionalFormatting>
  <conditionalFormatting sqref="AF37">
    <cfRule type="cellIs" dxfId="19" priority="31" operator="greaterThan">
      <formula>$C$58</formula>
    </cfRule>
    <cfRule type="cellIs" dxfId="18" priority="32" operator="lessThan">
      <formula>$C$58</formula>
    </cfRule>
  </conditionalFormatting>
  <conditionalFormatting sqref="O39">
    <cfRule type="cellIs" dxfId="17" priority="16" operator="lessThan">
      <formula>0</formula>
    </cfRule>
    <cfRule type="cellIs" dxfId="16" priority="17" operator="equal">
      <formula>0</formula>
    </cfRule>
    <cfRule type="cellIs" dxfId="15" priority="18" operator="greaterThan">
      <formula>0</formula>
    </cfRule>
  </conditionalFormatting>
  <conditionalFormatting sqref="S52">
    <cfRule type="cellIs" dxfId="14" priority="4" operator="lessThan">
      <formula>0</formula>
    </cfRule>
    <cfRule type="cellIs" dxfId="13" priority="5" operator="equal">
      <formula>0</formula>
    </cfRule>
    <cfRule type="cellIs" dxfId="12" priority="6" operator="greaterThan">
      <formula>0</formula>
    </cfRule>
  </conditionalFormatting>
  <conditionalFormatting sqref="O52">
    <cfRule type="cellIs" dxfId="11" priority="13" operator="lessThan">
      <formula>0</formula>
    </cfRule>
    <cfRule type="cellIs" dxfId="10" priority="14" operator="equal">
      <formula>0</formula>
    </cfRule>
    <cfRule type="cellIs" dxfId="9" priority="15" operator="greaterThan">
      <formula>0</formula>
    </cfRule>
  </conditionalFormatting>
  <conditionalFormatting sqref="O65">
    <cfRule type="cellIs" dxfId="8" priority="10" operator="lessThan">
      <formula>0</formula>
    </cfRule>
    <cfRule type="cellIs" dxfId="7" priority="11" operator="equal">
      <formula>0</formula>
    </cfRule>
    <cfRule type="cellIs" dxfId="6" priority="12" operator="greaterThan">
      <formula>0</formula>
    </cfRule>
  </conditionalFormatting>
  <conditionalFormatting sqref="S39">
    <cfRule type="cellIs" dxfId="5" priority="7" operator="lessThan">
      <formula>0</formula>
    </cfRule>
    <cfRule type="cellIs" dxfId="4" priority="8" operator="equal">
      <formula>0</formula>
    </cfRule>
    <cfRule type="cellIs" dxfId="3" priority="9" operator="greaterThan">
      <formula>0</formula>
    </cfRule>
  </conditionalFormatting>
  <conditionalFormatting sqref="S65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DF5B48-0A25-4B04-8CCB-8336683FA8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7" id="{E35315EE-50F4-49F5-9964-3D1E880100C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8" id="{5AC90CBE-0E87-40A7-BE3E-0A240C158A4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CC0D7-3E27-4564-9800-47962C170C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25Sep18</vt:lpstr>
      <vt:lpstr>2Oct18</vt:lpstr>
      <vt:lpstr>8Oct18</vt:lpstr>
      <vt:lpstr>11Oct18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2018-09-22T09:56:34Z</dcterms:created>
  <dcterms:modified xsi:type="dcterms:W3CDTF">2018-09-27T10:56:42Z</dcterms:modified>
</cp:coreProperties>
</file>