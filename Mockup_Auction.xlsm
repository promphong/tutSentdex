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"/>
    </mc:Choice>
  </mc:AlternateContent>
  <xr:revisionPtr revIDLastSave="0" documentId="13_ncr:1_{96B8B5AE-F57B-48FA-8B46-B25D4EAD90F8}" xr6:coauthVersionLast="36" xr6:coauthVersionMax="36" xr10:uidLastSave="{00000000-0000-0000-0000-000000000000}"/>
  <bookViews>
    <workbookView xWindow="0" yWindow="0" windowWidth="30720" windowHeight="9660" activeTab="1" xr2:uid="{2C2574F7-6CD0-48B8-8A77-318407D29ED0}"/>
  </bookViews>
  <sheets>
    <sheet name="25Sep18" sheetId="1" r:id="rId1"/>
    <sheet name="2Oct18" sheetId="2" r:id="rId2"/>
    <sheet name="8Oct18" sheetId="3" r:id="rId3"/>
    <sheet name="15Oct18" sheetId="4" r:id="rId4"/>
  </sheets>
  <functionGroups builtInGroupCount="19"/>
  <definedNames>
    <definedName name="Rank">OFFSET('25Sep18'!$Z$3,0,0,COUNTA('25Sep18'!$Z:$Z),1)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38" i="2" l="1"/>
  <c r="O38" i="2"/>
  <c r="R44" i="4"/>
  <c r="R43" i="4"/>
  <c r="R42" i="4" a="1"/>
  <c r="R50" i="4" s="1"/>
  <c r="N40" i="4"/>
  <c r="G38" i="4"/>
  <c r="G37" i="4"/>
  <c r="G36" i="4"/>
  <c r="B30" i="4"/>
  <c r="R31" i="4"/>
  <c r="R30" i="4"/>
  <c r="R29" i="4" a="1"/>
  <c r="R37" i="4" s="1"/>
  <c r="C38" i="4"/>
  <c r="B38" i="4" s="1"/>
  <c r="C37" i="4"/>
  <c r="C30" i="4"/>
  <c r="C29" i="4"/>
  <c r="B29" i="4" s="1"/>
  <c r="C29" i="4" a="1"/>
  <c r="C36" i="4" s="1"/>
  <c r="N27" i="4"/>
  <c r="D27" i="4"/>
  <c r="B27" i="4"/>
  <c r="V23" i="4"/>
  <c r="U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V22" i="4"/>
  <c r="U22" i="4"/>
  <c r="T22" i="4"/>
  <c r="V21" i="4"/>
  <c r="U21" i="4"/>
  <c r="T21" i="4"/>
  <c r="T23" i="4" s="1"/>
  <c r="V20" i="4"/>
  <c r="U20" i="4"/>
  <c r="T20" i="4"/>
  <c r="P19" i="4"/>
  <c r="O19" i="4"/>
  <c r="H19" i="4"/>
  <c r="G19" i="4"/>
  <c r="C19" i="4" a="1"/>
  <c r="N19" i="4" s="1"/>
  <c r="B18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V13" i="4"/>
  <c r="U13" i="4"/>
  <c r="T13" i="4"/>
  <c r="V12" i="4"/>
  <c r="U12" i="4"/>
  <c r="T12" i="4"/>
  <c r="V11" i="4"/>
  <c r="V14" i="4" s="1"/>
  <c r="U11" i="4"/>
  <c r="U14" i="4" s="1"/>
  <c r="T11" i="4"/>
  <c r="T14" i="4" s="1"/>
  <c r="P10" i="4"/>
  <c r="O10" i="4"/>
  <c r="H10" i="4"/>
  <c r="G10" i="4"/>
  <c r="C10" i="4" a="1"/>
  <c r="N10" i="4" s="1"/>
  <c r="B9" i="4"/>
  <c r="V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V6" i="4"/>
  <c r="U6" i="4"/>
  <c r="T6" i="4"/>
  <c r="V5" i="4"/>
  <c r="U5" i="4"/>
  <c r="T5" i="4"/>
  <c r="T7" i="4" s="1"/>
  <c r="V4" i="4"/>
  <c r="U4" i="4"/>
  <c r="U7" i="4" s="1"/>
  <c r="T4" i="4"/>
  <c r="N3" i="4"/>
  <c r="M3" i="4"/>
  <c r="F3" i="4"/>
  <c r="E3" i="4"/>
  <c r="C3" i="4" a="1"/>
  <c r="L3" i="4" s="1"/>
  <c r="B2" i="4"/>
  <c r="R43" i="3"/>
  <c r="R42" i="3" a="1"/>
  <c r="R50" i="3" s="1"/>
  <c r="N40" i="3"/>
  <c r="G38" i="3"/>
  <c r="G37" i="3"/>
  <c r="G36" i="3"/>
  <c r="R30" i="3"/>
  <c r="R29" i="3" a="1"/>
  <c r="R37" i="3" s="1"/>
  <c r="C37" i="3"/>
  <c r="C35" i="3"/>
  <c r="B35" i="3" s="1"/>
  <c r="C29" i="3"/>
  <c r="B29" i="3" s="1"/>
  <c r="C29" i="3" a="1"/>
  <c r="C36" i="3" s="1"/>
  <c r="N27" i="3"/>
  <c r="D27" i="3"/>
  <c r="B27" i="3"/>
  <c r="U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V22" i="3"/>
  <c r="U22" i="3"/>
  <c r="T22" i="3"/>
  <c r="V21" i="3"/>
  <c r="U21" i="3"/>
  <c r="T21" i="3"/>
  <c r="T23" i="3" s="1"/>
  <c r="V20" i="3"/>
  <c r="V23" i="3" s="1"/>
  <c r="U20" i="3"/>
  <c r="T20" i="3"/>
  <c r="O19" i="3"/>
  <c r="G19" i="3"/>
  <c r="C19" i="3" a="1"/>
  <c r="N19" i="3" s="1"/>
  <c r="B18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V13" i="3"/>
  <c r="U13" i="3"/>
  <c r="T13" i="3"/>
  <c r="V12" i="3"/>
  <c r="U12" i="3"/>
  <c r="T12" i="3"/>
  <c r="V11" i="3"/>
  <c r="V14" i="3" s="1"/>
  <c r="U11" i="3"/>
  <c r="U14" i="3" s="1"/>
  <c r="T11" i="3"/>
  <c r="T14" i="3" s="1"/>
  <c r="O10" i="3"/>
  <c r="G10" i="3"/>
  <c r="C10" i="3" a="1"/>
  <c r="N10" i="3" s="1"/>
  <c r="B9" i="3"/>
  <c r="V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V6" i="3"/>
  <c r="U6" i="3"/>
  <c r="T6" i="3"/>
  <c r="V5" i="3"/>
  <c r="U5" i="3"/>
  <c r="T5" i="3"/>
  <c r="T7" i="3" s="1"/>
  <c r="V4" i="3"/>
  <c r="U4" i="3"/>
  <c r="U7" i="3" s="1"/>
  <c r="T4" i="3"/>
  <c r="S3" i="3"/>
  <c r="P3" i="3"/>
  <c r="M3" i="3"/>
  <c r="K3" i="3"/>
  <c r="H3" i="3"/>
  <c r="E3" i="3"/>
  <c r="C3" i="3"/>
  <c r="C3" i="3" a="1"/>
  <c r="L3" i="3" s="1"/>
  <c r="B2" i="3"/>
  <c r="AF17" i="1"/>
  <c r="R44" i="2"/>
  <c r="R43" i="2"/>
  <c r="R42" i="2" a="1"/>
  <c r="R50" i="2" s="1"/>
  <c r="N40" i="2"/>
  <c r="G38" i="2"/>
  <c r="G37" i="2"/>
  <c r="G36" i="2"/>
  <c r="B34" i="2"/>
  <c r="R32" i="2"/>
  <c r="R31" i="2"/>
  <c r="R30" i="2"/>
  <c r="R29" i="2" a="1"/>
  <c r="R37" i="2" s="1"/>
  <c r="C42" i="2"/>
  <c r="B42" i="2" s="1"/>
  <c r="C39" i="2"/>
  <c r="B39" i="2" s="1"/>
  <c r="C38" i="2"/>
  <c r="B38" i="2" s="1"/>
  <c r="C37" i="2"/>
  <c r="C35" i="2"/>
  <c r="B35" i="2" s="1"/>
  <c r="C34" i="2"/>
  <c r="C31" i="2"/>
  <c r="B31" i="2" s="1"/>
  <c r="C30" i="2"/>
  <c r="B30" i="2" s="1"/>
  <c r="C29" i="2"/>
  <c r="B29" i="2" s="1"/>
  <c r="C29" i="2" a="1"/>
  <c r="C36" i="2" s="1"/>
  <c r="N27" i="2"/>
  <c r="D27" i="2"/>
  <c r="B27" i="2"/>
  <c r="V23" i="2"/>
  <c r="U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V22" i="2"/>
  <c r="U22" i="2"/>
  <c r="T22" i="2"/>
  <c r="V21" i="2"/>
  <c r="U21" i="2"/>
  <c r="T21" i="2"/>
  <c r="V20" i="2"/>
  <c r="U20" i="2"/>
  <c r="T20" i="2"/>
  <c r="T23" i="2" s="1"/>
  <c r="P19" i="2"/>
  <c r="H19" i="2"/>
  <c r="F19" i="2"/>
  <c r="C19" i="2" a="1"/>
  <c r="S19" i="2" s="1"/>
  <c r="B18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V13" i="2"/>
  <c r="U13" i="2"/>
  <c r="T13" i="2"/>
  <c r="V12" i="2"/>
  <c r="U12" i="2"/>
  <c r="T12" i="2"/>
  <c r="V11" i="2"/>
  <c r="V14" i="2" s="1"/>
  <c r="U11" i="2"/>
  <c r="U14" i="2" s="1"/>
  <c r="T11" i="2"/>
  <c r="T14" i="2" s="1"/>
  <c r="O10" i="2"/>
  <c r="G10" i="2"/>
  <c r="C10" i="2" a="1"/>
  <c r="M10" i="2" s="1"/>
  <c r="B9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V6" i="2"/>
  <c r="U6" i="2"/>
  <c r="T6" i="2"/>
  <c r="V5" i="2"/>
  <c r="U5" i="2"/>
  <c r="T5" i="2"/>
  <c r="V4" i="2"/>
  <c r="V7" i="2" s="1"/>
  <c r="U4" i="2"/>
  <c r="U7" i="2" s="1"/>
  <c r="T4" i="2"/>
  <c r="T7" i="2" s="1"/>
  <c r="N3" i="2"/>
  <c r="G3" i="2"/>
  <c r="E3" i="2"/>
  <c r="C3" i="2" a="1"/>
  <c r="L3" i="2" s="1"/>
  <c r="B2" i="2"/>
  <c r="R42" i="1" a="1"/>
  <c r="R47" i="1" s="1"/>
  <c r="U14" i="1"/>
  <c r="V14" i="1"/>
  <c r="V7" i="1"/>
  <c r="U7" i="1"/>
  <c r="T7" i="1"/>
  <c r="T14" i="1"/>
  <c r="B27" i="1"/>
  <c r="D27" i="1"/>
  <c r="N40" i="1"/>
  <c r="B18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V22" i="1"/>
  <c r="U22" i="1"/>
  <c r="T22" i="1"/>
  <c r="V21" i="1"/>
  <c r="U21" i="1"/>
  <c r="T21" i="1"/>
  <c r="V20" i="1"/>
  <c r="U20" i="1"/>
  <c r="T20" i="1"/>
  <c r="C19" i="1" a="1"/>
  <c r="M19" i="1" s="1"/>
  <c r="B9" i="1"/>
  <c r="B2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V13" i="1"/>
  <c r="U13" i="1"/>
  <c r="T13" i="1"/>
  <c r="V12" i="1"/>
  <c r="U12" i="1"/>
  <c r="T12" i="1"/>
  <c r="V11" i="1"/>
  <c r="U11" i="1"/>
  <c r="T11" i="1"/>
  <c r="C10" i="1" a="1"/>
  <c r="M10" i="1" s="1"/>
  <c r="C3" i="1" a="1"/>
  <c r="D3" i="1" s="1"/>
  <c r="N27" i="1"/>
  <c r="G37" i="1"/>
  <c r="G38" i="1"/>
  <c r="G3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C7" i="1"/>
  <c r="R29" i="1" a="1"/>
  <c r="R30" i="1" s="1"/>
  <c r="C29" i="1" a="1"/>
  <c r="C29" i="1" s="1"/>
  <c r="V5" i="1"/>
  <c r="V6" i="1"/>
  <c r="V4" i="1"/>
  <c r="U5" i="1"/>
  <c r="U6" i="1"/>
  <c r="U4" i="1"/>
  <c r="T5" i="1"/>
  <c r="T6" i="1"/>
  <c r="T4" i="1"/>
  <c r="A45" i="1"/>
  <c r="B36" i="4" l="1"/>
  <c r="B37" i="4"/>
  <c r="G3" i="4"/>
  <c r="O3" i="4"/>
  <c r="I10" i="4"/>
  <c r="Q10" i="4"/>
  <c r="I19" i="4"/>
  <c r="Q19" i="4"/>
  <c r="C31" i="4"/>
  <c r="C39" i="4"/>
  <c r="R32" i="4"/>
  <c r="R45" i="4"/>
  <c r="H3" i="4"/>
  <c r="A38" i="4" s="1"/>
  <c r="P3" i="4"/>
  <c r="J10" i="4"/>
  <c r="R10" i="4"/>
  <c r="J19" i="4"/>
  <c r="R19" i="4"/>
  <c r="C32" i="4"/>
  <c r="C40" i="4"/>
  <c r="R33" i="4"/>
  <c r="R46" i="4"/>
  <c r="I3" i="4"/>
  <c r="Q3" i="4"/>
  <c r="C10" i="4"/>
  <c r="K10" i="4"/>
  <c r="S10" i="4"/>
  <c r="C19" i="4"/>
  <c r="K19" i="4"/>
  <c r="S19" i="4"/>
  <c r="C33" i="4"/>
  <c r="C41" i="4"/>
  <c r="R34" i="4"/>
  <c r="R47" i="4"/>
  <c r="J3" i="4"/>
  <c r="R3" i="4"/>
  <c r="D10" i="4"/>
  <c r="L10" i="4"/>
  <c r="D19" i="4"/>
  <c r="L19" i="4"/>
  <c r="A29" i="4"/>
  <c r="C34" i="4"/>
  <c r="C42" i="4"/>
  <c r="R35" i="4"/>
  <c r="R48" i="4"/>
  <c r="C3" i="4"/>
  <c r="A36" i="4" s="1"/>
  <c r="K3" i="4"/>
  <c r="S3" i="4"/>
  <c r="E10" i="4"/>
  <c r="M10" i="4"/>
  <c r="E19" i="4"/>
  <c r="M19" i="4"/>
  <c r="C35" i="4"/>
  <c r="R36" i="4"/>
  <c r="R49" i="4"/>
  <c r="D3" i="4"/>
  <c r="A37" i="4" s="1"/>
  <c r="F10" i="4"/>
  <c r="F19" i="4"/>
  <c r="R29" i="4"/>
  <c r="R42" i="4"/>
  <c r="B36" i="3"/>
  <c r="B37" i="3"/>
  <c r="F3" i="3"/>
  <c r="N3" i="3"/>
  <c r="H10" i="3"/>
  <c r="P10" i="3"/>
  <c r="H19" i="3"/>
  <c r="P19" i="3"/>
  <c r="C30" i="3"/>
  <c r="C38" i="3"/>
  <c r="R31" i="3"/>
  <c r="R44" i="3"/>
  <c r="G3" i="3"/>
  <c r="O3" i="3"/>
  <c r="I10" i="3"/>
  <c r="Q10" i="3"/>
  <c r="I19" i="3"/>
  <c r="Q19" i="3"/>
  <c r="C31" i="3"/>
  <c r="C39" i="3"/>
  <c r="R32" i="3"/>
  <c r="A35" i="3"/>
  <c r="R45" i="3"/>
  <c r="J10" i="3"/>
  <c r="R10" i="3"/>
  <c r="J19" i="3"/>
  <c r="R19" i="3"/>
  <c r="C32" i="3"/>
  <c r="C40" i="3"/>
  <c r="R33" i="3"/>
  <c r="R46" i="3"/>
  <c r="I3" i="3"/>
  <c r="Q3" i="3"/>
  <c r="C10" i="3"/>
  <c r="K10" i="3"/>
  <c r="S10" i="3"/>
  <c r="C19" i="3"/>
  <c r="K19" i="3"/>
  <c r="S19" i="3"/>
  <c r="C33" i="3"/>
  <c r="C41" i="3"/>
  <c r="R34" i="3"/>
  <c r="R47" i="3"/>
  <c r="J3" i="3"/>
  <c r="R3" i="3"/>
  <c r="D10" i="3"/>
  <c r="L10" i="3"/>
  <c r="D19" i="3"/>
  <c r="L19" i="3"/>
  <c r="A29" i="3"/>
  <c r="C34" i="3"/>
  <c r="C42" i="3"/>
  <c r="R35" i="3"/>
  <c r="R48" i="3"/>
  <c r="E10" i="3"/>
  <c r="M10" i="3"/>
  <c r="E19" i="3"/>
  <c r="M19" i="3"/>
  <c r="R36" i="3"/>
  <c r="R49" i="3"/>
  <c r="D3" i="3"/>
  <c r="A36" i="3" s="1"/>
  <c r="F10" i="3"/>
  <c r="F19" i="3"/>
  <c r="R29" i="3"/>
  <c r="R42" i="3"/>
  <c r="F3" i="2"/>
  <c r="P10" i="2"/>
  <c r="G19" i="2"/>
  <c r="Q19" i="2"/>
  <c r="H3" i="2"/>
  <c r="I19" i="2"/>
  <c r="M3" i="2"/>
  <c r="F10" i="2"/>
  <c r="L19" i="2"/>
  <c r="M19" i="2"/>
  <c r="O3" i="2"/>
  <c r="H10" i="2"/>
  <c r="D19" i="2"/>
  <c r="N19" i="2"/>
  <c r="P3" i="2"/>
  <c r="N10" i="2"/>
  <c r="E19" i="2"/>
  <c r="O19" i="2"/>
  <c r="B36" i="2"/>
  <c r="B37" i="2"/>
  <c r="R45" i="2"/>
  <c r="I10" i="2"/>
  <c r="Q10" i="2"/>
  <c r="J19" i="2"/>
  <c r="R19" i="2"/>
  <c r="C32" i="2"/>
  <c r="C40" i="2"/>
  <c r="R33" i="2"/>
  <c r="R46" i="2"/>
  <c r="I3" i="2"/>
  <c r="Q3" i="2"/>
  <c r="J10" i="2"/>
  <c r="R10" i="2"/>
  <c r="C19" i="2"/>
  <c r="K19" i="2"/>
  <c r="C33" i="2"/>
  <c r="C41" i="2"/>
  <c r="R34" i="2"/>
  <c r="R47" i="2"/>
  <c r="J3" i="2"/>
  <c r="R3" i="2"/>
  <c r="C10" i="2"/>
  <c r="K10" i="2"/>
  <c r="S10" i="2"/>
  <c r="A29" i="2"/>
  <c r="R35" i="2"/>
  <c r="R48" i="2"/>
  <c r="C3" i="2"/>
  <c r="K3" i="2"/>
  <c r="S3" i="2"/>
  <c r="D10" i="2"/>
  <c r="L10" i="2"/>
  <c r="R36" i="2"/>
  <c r="R49" i="2"/>
  <c r="D3" i="2"/>
  <c r="A42" i="2" s="1"/>
  <c r="E10" i="2"/>
  <c r="R29" i="2"/>
  <c r="R42" i="2"/>
  <c r="U23" i="1"/>
  <c r="T23" i="1"/>
  <c r="V23" i="1"/>
  <c r="R48" i="1"/>
  <c r="R49" i="1"/>
  <c r="R42" i="1"/>
  <c r="R50" i="1"/>
  <c r="R43" i="1"/>
  <c r="R44" i="1"/>
  <c r="R45" i="1"/>
  <c r="R46" i="1"/>
  <c r="F19" i="1"/>
  <c r="O19" i="1"/>
  <c r="H19" i="1"/>
  <c r="P19" i="1"/>
  <c r="G19" i="1"/>
  <c r="I19" i="1"/>
  <c r="Q19" i="1"/>
  <c r="J19" i="1"/>
  <c r="R19" i="1"/>
  <c r="N19" i="1"/>
  <c r="C19" i="1"/>
  <c r="S19" i="1"/>
  <c r="D19" i="1"/>
  <c r="L19" i="1"/>
  <c r="K19" i="1"/>
  <c r="E19" i="1"/>
  <c r="G10" i="1"/>
  <c r="O10" i="1"/>
  <c r="H10" i="1"/>
  <c r="P10" i="1"/>
  <c r="I10" i="1"/>
  <c r="Q10" i="1"/>
  <c r="J10" i="1"/>
  <c r="R10" i="1"/>
  <c r="C10" i="1"/>
  <c r="K10" i="1"/>
  <c r="S10" i="1"/>
  <c r="F10" i="1"/>
  <c r="D10" i="1"/>
  <c r="L10" i="1"/>
  <c r="N10" i="1"/>
  <c r="E10" i="1"/>
  <c r="Q3" i="1"/>
  <c r="I3" i="1"/>
  <c r="P3" i="1"/>
  <c r="H3" i="1"/>
  <c r="S3" i="1"/>
  <c r="K3" i="1"/>
  <c r="C3" i="1"/>
  <c r="A29" i="1" s="1"/>
  <c r="R3" i="1"/>
  <c r="J3" i="1"/>
  <c r="O3" i="1"/>
  <c r="N3" i="1"/>
  <c r="M3" i="1"/>
  <c r="E3" i="1"/>
  <c r="G3" i="1"/>
  <c r="F3" i="1"/>
  <c r="L3" i="1"/>
  <c r="R29" i="1"/>
  <c r="R35" i="1"/>
  <c r="R34" i="1"/>
  <c r="R33" i="1"/>
  <c r="R31" i="1"/>
  <c r="R37" i="1"/>
  <c r="R36" i="1"/>
  <c r="R32" i="1"/>
  <c r="C35" i="1"/>
  <c r="B35" i="1" s="1"/>
  <c r="C42" i="1"/>
  <c r="B42" i="1" s="1"/>
  <c r="C34" i="1"/>
  <c r="B34" i="1" s="1"/>
  <c r="C36" i="1"/>
  <c r="B36" i="1" s="1"/>
  <c r="C33" i="1"/>
  <c r="C40" i="1"/>
  <c r="B40" i="1" s="1"/>
  <c r="C32" i="1"/>
  <c r="C39" i="1"/>
  <c r="B39" i="1" s="1"/>
  <c r="C31" i="1"/>
  <c r="B31" i="1" s="1"/>
  <c r="C41" i="1"/>
  <c r="B41" i="1" s="1"/>
  <c r="C38" i="1"/>
  <c r="C30" i="1"/>
  <c r="C37" i="1"/>
  <c r="B37" i="1" s="1"/>
  <c r="B29" i="1"/>
  <c r="AD16" i="2"/>
  <c r="AD3" i="2"/>
  <c r="AD3" i="1"/>
  <c r="AF6" i="2" l="1"/>
  <c r="AF14" i="2"/>
  <c r="AF15" i="2"/>
  <c r="AF16" i="2"/>
  <c r="AF7" i="2"/>
  <c r="AF8" i="2"/>
  <c r="AF9" i="2"/>
  <c r="AF3" i="2"/>
  <c r="AF10" i="2"/>
  <c r="AF11" i="2"/>
  <c r="AF5" i="2"/>
  <c r="AF4" i="2"/>
  <c r="AF12" i="2"/>
  <c r="AF13" i="2"/>
  <c r="AF3" i="4"/>
  <c r="AF16" i="4"/>
  <c r="AF10" i="4"/>
  <c r="AF4" i="4"/>
  <c r="AF11" i="4"/>
  <c r="AF8" i="4"/>
  <c r="AF5" i="4"/>
  <c r="AF9" i="4"/>
  <c r="AF15" i="4"/>
  <c r="AF12" i="4"/>
  <c r="AF6" i="4"/>
  <c r="AF14" i="4"/>
  <c r="AF7" i="4"/>
  <c r="AF13" i="4"/>
  <c r="B42" i="4"/>
  <c r="A42" i="4"/>
  <c r="B32" i="4"/>
  <c r="A32" i="4"/>
  <c r="A34" i="4"/>
  <c r="B34" i="4"/>
  <c r="B39" i="4"/>
  <c r="A39" i="4"/>
  <c r="A40" i="4"/>
  <c r="B40" i="4"/>
  <c r="B41" i="4"/>
  <c r="A41" i="4"/>
  <c r="B31" i="4"/>
  <c r="A31" i="4"/>
  <c r="B35" i="4"/>
  <c r="A35" i="4"/>
  <c r="B33" i="4"/>
  <c r="A33" i="4"/>
  <c r="A30" i="4"/>
  <c r="B42" i="3"/>
  <c r="A42" i="3"/>
  <c r="B32" i="3"/>
  <c r="A32" i="3"/>
  <c r="B39" i="3"/>
  <c r="A39" i="3"/>
  <c r="B34" i="3"/>
  <c r="A34" i="3"/>
  <c r="B31" i="3"/>
  <c r="A31" i="3"/>
  <c r="B38" i="3"/>
  <c r="A38" i="3"/>
  <c r="A40" i="3"/>
  <c r="B40" i="3"/>
  <c r="B41" i="3"/>
  <c r="A41" i="3"/>
  <c r="A30" i="3"/>
  <c r="B30" i="3"/>
  <c r="A37" i="3"/>
  <c r="AF16" i="3"/>
  <c r="AF10" i="3"/>
  <c r="AF4" i="3"/>
  <c r="AF3" i="3"/>
  <c r="AF11" i="3"/>
  <c r="AF8" i="3"/>
  <c r="AF6" i="3"/>
  <c r="AF5" i="3"/>
  <c r="AF15" i="3"/>
  <c r="AF12" i="3"/>
  <c r="AF7" i="3"/>
  <c r="AF13" i="3"/>
  <c r="AF9" i="3"/>
  <c r="AF14" i="3"/>
  <c r="B33" i="3"/>
  <c r="A33" i="3"/>
  <c r="A39" i="2"/>
  <c r="A38" i="2"/>
  <c r="AF4" i="1"/>
  <c r="AG4" i="1" s="1"/>
  <c r="AF12" i="1"/>
  <c r="AG12" i="1" s="1"/>
  <c r="AF5" i="1"/>
  <c r="AG5" i="1" s="1"/>
  <c r="AF13" i="1"/>
  <c r="AG13" i="1" s="1"/>
  <c r="AF6" i="1"/>
  <c r="AG6" i="1" s="1"/>
  <c r="AF14" i="1"/>
  <c r="AG14" i="1" s="1"/>
  <c r="AF7" i="1"/>
  <c r="AG7" i="1" s="1"/>
  <c r="AF15" i="1"/>
  <c r="AG15" i="1" s="1"/>
  <c r="AF8" i="1"/>
  <c r="AG8" i="1" s="1"/>
  <c r="AF16" i="1"/>
  <c r="AG16" i="1" s="1"/>
  <c r="AF9" i="1"/>
  <c r="AG9" i="1" s="1"/>
  <c r="AF3" i="1"/>
  <c r="AG3" i="1" s="1"/>
  <c r="AF10" i="1"/>
  <c r="AG10" i="1" s="1"/>
  <c r="AF11" i="1"/>
  <c r="AG11" i="1" s="1"/>
  <c r="B41" i="2"/>
  <c r="A41" i="2"/>
  <c r="B33" i="2"/>
  <c r="A33" i="2"/>
  <c r="A40" i="2"/>
  <c r="B40" i="2"/>
  <c r="A34" i="2"/>
  <c r="A31" i="2"/>
  <c r="A35" i="2"/>
  <c r="A30" i="2"/>
  <c r="B32" i="2"/>
  <c r="A32" i="2"/>
  <c r="A37" i="2"/>
  <c r="A36" i="2"/>
  <c r="A32" i="1"/>
  <c r="A37" i="1"/>
  <c r="A33" i="1"/>
  <c r="B33" i="1"/>
  <c r="A31" i="1"/>
  <c r="A35" i="1"/>
  <c r="A40" i="1"/>
  <c r="A36" i="1"/>
  <c r="A38" i="1"/>
  <c r="A34" i="1"/>
  <c r="A41" i="1"/>
  <c r="A42" i="1"/>
  <c r="A39" i="1"/>
  <c r="B32" i="1"/>
  <c r="A30" i="1"/>
  <c r="B30" i="1"/>
  <c r="B38" i="1"/>
  <c r="AF17" i="2"/>
  <c r="AD11" i="4"/>
  <c r="AD3" i="4"/>
  <c r="AD12" i="4"/>
  <c r="AD10" i="4"/>
  <c r="AF17" i="4"/>
  <c r="AG11" i="4"/>
  <c r="AG12" i="4"/>
  <c r="AG10" i="4"/>
  <c r="AD9" i="3"/>
  <c r="AD10" i="3"/>
  <c r="AG9" i="3"/>
  <c r="AG3" i="3"/>
  <c r="AD3" i="3"/>
  <c r="AF17" i="3"/>
  <c r="AG10" i="3"/>
  <c r="AD13" i="2"/>
  <c r="AD12" i="2"/>
  <c r="AD9" i="2"/>
  <c r="AD15" i="2"/>
  <c r="AD4" i="2"/>
  <c r="AD6" i="2"/>
  <c r="AD5" i="2"/>
  <c r="AD7" i="2"/>
  <c r="AD14" i="2"/>
  <c r="AD11" i="2"/>
  <c r="AD10" i="2"/>
  <c r="AD8" i="2"/>
  <c r="AD7" i="1"/>
  <c r="AD15" i="1"/>
  <c r="AD16" i="1"/>
  <c r="AD5" i="1"/>
  <c r="AD13" i="1"/>
  <c r="AD9" i="1"/>
  <c r="AD12" i="1"/>
  <c r="AD11" i="1"/>
  <c r="AD14" i="1"/>
  <c r="AD4" i="1"/>
  <c r="AD10" i="1"/>
  <c r="AD6" i="1"/>
  <c r="AD8" i="1"/>
  <c r="AH5" i="1" l="1"/>
  <c r="AD5" i="4"/>
  <c r="AG16" i="4"/>
  <c r="AG3" i="4"/>
  <c r="AD15" i="4"/>
  <c r="AG4" i="4"/>
  <c r="AD4" i="4"/>
  <c r="AD16" i="4"/>
  <c r="AG15" i="4"/>
  <c r="AD6" i="4"/>
  <c r="AD14" i="4"/>
  <c r="AG7" i="4"/>
  <c r="AG6" i="4"/>
  <c r="AD9" i="4"/>
  <c r="AD7" i="4"/>
  <c r="AG9" i="4"/>
  <c r="AG14" i="4"/>
  <c r="AG8" i="4"/>
  <c r="AD13" i="4"/>
  <c r="AG5" i="4"/>
  <c r="AD8" i="4"/>
  <c r="AG13" i="4"/>
  <c r="AD11" i="3"/>
  <c r="AD16" i="3"/>
  <c r="AG14" i="3"/>
  <c r="AG15" i="3"/>
  <c r="AG8" i="3"/>
  <c r="AG4" i="3"/>
  <c r="AG6" i="3"/>
  <c r="AG16" i="3"/>
  <c r="AD4" i="3"/>
  <c r="AD6" i="3"/>
  <c r="AG12" i="3"/>
  <c r="AD12" i="3"/>
  <c r="AD15" i="3"/>
  <c r="AD8" i="3"/>
  <c r="AD5" i="3"/>
  <c r="AD7" i="3"/>
  <c r="AD14" i="3"/>
  <c r="AD13" i="3"/>
  <c r="AG5" i="3"/>
  <c r="AG7" i="3"/>
  <c r="AG13" i="3"/>
  <c r="AG11" i="3"/>
  <c r="AG16" i="2"/>
  <c r="AG8" i="2"/>
  <c r="AG15" i="2"/>
  <c r="AG7" i="2"/>
  <c r="AG14" i="2"/>
  <c r="AG13" i="2"/>
  <c r="AG5" i="2"/>
  <c r="AG12" i="2"/>
  <c r="AG4" i="2"/>
  <c r="AG10" i="2"/>
  <c r="AG9" i="2"/>
  <c r="AG6" i="2"/>
  <c r="AH16" i="4" l="1"/>
  <c r="AH10" i="4"/>
  <c r="AH5" i="4"/>
  <c r="AH16" i="3"/>
  <c r="AH10" i="3"/>
  <c r="AH5" i="3"/>
  <c r="AH10" i="2"/>
  <c r="AH10" i="1"/>
  <c r="AG11" i="2"/>
  <c r="AH16" i="2" l="1"/>
  <c r="AH16" i="1"/>
  <c r="AG3" i="2"/>
  <c r="AH5" i="2" l="1"/>
</calcChain>
</file>

<file path=xl/sharedStrings.xml><?xml version="1.0" encoding="utf-8"?>
<sst xmlns="http://schemas.openxmlformats.org/spreadsheetml/2006/main" count="399" uniqueCount="57">
  <si>
    <t>Bank</t>
  </si>
  <si>
    <t>Slot1</t>
  </si>
  <si>
    <t>Slot2</t>
  </si>
  <si>
    <t>Slot3</t>
  </si>
  <si>
    <t>Size</t>
  </si>
  <si>
    <t>Tier</t>
  </si>
  <si>
    <t>Min</t>
  </si>
  <si>
    <t>Max</t>
  </si>
  <si>
    <t>Average</t>
  </si>
  <si>
    <t>Conditon:</t>
  </si>
  <si>
    <t xml:space="preserve">1) Size Allocated based on tier </t>
  </si>
  <si>
    <t xml:space="preserve">2) Rate ad justed by demand </t>
  </si>
  <si>
    <t>More Demand maybe take rate down than normal expect (Maybe add up 20%)</t>
  </si>
  <si>
    <t xml:space="preserve">Normal Demand </t>
  </si>
  <si>
    <t>D/S maybe raise adjust</t>
  </si>
  <si>
    <t xml:space="preserve">3) *Maybe rate not build for this time </t>
  </si>
  <si>
    <t>SCB</t>
  </si>
  <si>
    <t>TMB</t>
  </si>
  <si>
    <t>BBL</t>
  </si>
  <si>
    <t>KBANK</t>
  </si>
  <si>
    <t>BNP</t>
  </si>
  <si>
    <t>KTB</t>
  </si>
  <si>
    <t>MUFG</t>
  </si>
  <si>
    <t>GSB</t>
  </si>
  <si>
    <t>ICBC</t>
  </si>
  <si>
    <t>CIMB</t>
  </si>
  <si>
    <t>SC</t>
  </si>
  <si>
    <t>CITI</t>
  </si>
  <si>
    <t>HSBC</t>
  </si>
  <si>
    <t>UOB</t>
  </si>
  <si>
    <t>Rank</t>
  </si>
  <si>
    <t>Amount</t>
  </si>
  <si>
    <t xml:space="preserve">Auction Dashboard </t>
  </si>
  <si>
    <t>Auction Result</t>
  </si>
  <si>
    <t>Cumulative Amt.</t>
  </si>
  <si>
    <t>Auction Amt.</t>
  </si>
  <si>
    <t>BCR</t>
  </si>
  <si>
    <t>Input Auction</t>
  </si>
  <si>
    <t>T+1</t>
  </si>
  <si>
    <t>T+2</t>
  </si>
  <si>
    <t>T+3</t>
  </si>
  <si>
    <t>Yied(%)</t>
  </si>
  <si>
    <t>Bonds</t>
  </si>
  <si>
    <t>CB18N08B</t>
  </si>
  <si>
    <t>CB19606A</t>
  </si>
  <si>
    <t>CB19207A</t>
  </si>
  <si>
    <t>Available</t>
  </si>
  <si>
    <t>Bank Tier and Condition Table</t>
  </si>
  <si>
    <t>Impile Yield</t>
  </si>
  <si>
    <t>Institution tier limit</t>
  </si>
  <si>
    <t>Tier 1</t>
  </si>
  <si>
    <t>Tier 2</t>
  </si>
  <si>
    <t>Tier 3</t>
  </si>
  <si>
    <t>25Sep18</t>
  </si>
  <si>
    <t>Institution Tier and Condition Table</t>
  </si>
  <si>
    <t xml:space="preserve">Institution Tier limit </t>
  </si>
  <si>
    <t>%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</si>
</sst>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TRUE&quot;;&quot;FALSE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44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4" fillId="0" borderId="0" xfId="0" applyFont="1"/>
    <xf numFmtId="0" fontId="4" fillId="0" borderId="2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/>
    <xf numFmtId="0" fontId="3" fillId="3" borderId="1" xfId="4" applyAlignment="1">
      <alignment horizontal="center"/>
    </xf>
    <xf numFmtId="0" fontId="4" fillId="0" borderId="2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43" fontId="0" fillId="0" borderId="2" xfId="1" applyFont="1" applyBorder="1"/>
    <xf numFmtId="43" fontId="0" fillId="0" borderId="0" xfId="1" applyFont="1" applyBorder="1"/>
    <xf numFmtId="0" fontId="3" fillId="3" borderId="1" xfId="4"/>
    <xf numFmtId="9" fontId="3" fillId="3" borderId="1" xfId="4" applyNumberFormat="1"/>
    <xf numFmtId="0" fontId="4" fillId="4" borderId="2" xfId="0" applyFont="1" applyFill="1" applyBorder="1" applyAlignment="1">
      <alignment horizontal="center"/>
    </xf>
    <xf numFmtId="0" fontId="2" fillId="2" borderId="2" xfId="3" applyBorder="1" applyAlignment="1">
      <alignment horizontal="center"/>
    </xf>
    <xf numFmtId="0" fontId="3" fillId="3" borderId="6" xfId="4" applyBorder="1" applyAlignment="1">
      <alignment horizontal="center"/>
    </xf>
    <xf numFmtId="0" fontId="5" fillId="5" borderId="2" xfId="0" applyFont="1" applyFill="1" applyBorder="1"/>
    <xf numFmtId="0" fontId="3" fillId="3" borderId="2" xfId="4" applyBorder="1" applyAlignment="1">
      <alignment horizontal="center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4" fontId="0" fillId="0" borderId="0" xfId="0" applyNumberFormat="1"/>
    <xf numFmtId="0" fontId="3" fillId="3" borderId="1" xfId="4" applyAlignment="1">
      <alignment horizontal="center" vertical="center"/>
    </xf>
    <xf numFmtId="15" fontId="0" fillId="0" borderId="0" xfId="0" applyNumberFormat="1"/>
    <xf numFmtId="0" fontId="3" fillId="3" borderId="1" xfId="4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11" xfId="0" applyBorder="1"/>
    <xf numFmtId="10" fontId="0" fillId="0" borderId="11" xfId="2" applyNumberFormat="1" applyFont="1" applyBorder="1" applyAlignment="1">
      <alignment horizontal="center"/>
    </xf>
    <xf numFmtId="43" fontId="0" fillId="0" borderId="11" xfId="1" applyFont="1" applyBorder="1"/>
    <xf numFmtId="0" fontId="0" fillId="0" borderId="13" xfId="0" applyBorder="1" applyAlignment="1">
      <alignment horizontal="center"/>
    </xf>
    <xf numFmtId="0" fontId="0" fillId="0" borderId="13" xfId="0" applyBorder="1"/>
    <xf numFmtId="10" fontId="0" fillId="0" borderId="10" xfId="2" applyNumberFormat="1" applyFont="1" applyBorder="1" applyAlignment="1">
      <alignment horizontal="center"/>
    </xf>
    <xf numFmtId="0" fontId="3" fillId="3" borderId="1" xfId="4" applyAlignment="1">
      <alignment horizontal="left" vertical="center"/>
    </xf>
  </cellXfs>
  <cellStyles count="5">
    <cellStyle name="Comma" xfId="1" builtinId="3"/>
    <cellStyle name="Good" xfId="3" builtinId="26"/>
    <cellStyle name="Input" xfId="4" builtinId="20"/>
    <cellStyle name="Normal" xfId="0" builtinId="0"/>
    <cellStyle name="Percent" xfId="2" builtinId="5"/>
  </cellStyles>
  <dxfs count="7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26672</xdr:colOff>
      <xdr:row>26</xdr:row>
      <xdr:rowOff>24765</xdr:rowOff>
    </xdr:from>
    <xdr:to>
      <xdr:col>4</xdr:col>
      <xdr:colOff>809626</xdr:colOff>
      <xdr:row>26</xdr:row>
      <xdr:rowOff>255269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9BD3550-6392-44CE-97D5-57EC71E5D1B2}"/>
            </a:ext>
          </a:extLst>
        </xdr:cNvPr>
        <xdr:cNvSpPr/>
      </xdr:nvSpPr>
      <xdr:spPr>
        <a:xfrm>
          <a:off x="2255522" y="3129915"/>
          <a:ext cx="782954" cy="23050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26</xdr:row>
      <xdr:rowOff>17145</xdr:rowOff>
    </xdr:from>
    <xdr:to>
      <xdr:col>4</xdr:col>
      <xdr:colOff>803909</xdr:colOff>
      <xdr:row>26</xdr:row>
      <xdr:rowOff>238125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02AE6B5-4C55-43FC-8CDC-B711638928B3}"/>
            </a:ext>
          </a:extLst>
        </xdr:cNvPr>
        <xdr:cNvSpPr/>
      </xdr:nvSpPr>
      <xdr:spPr>
        <a:xfrm>
          <a:off x="2266950" y="3122295"/>
          <a:ext cx="765809" cy="22098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</xdr:colOff>
      <xdr:row>26</xdr:row>
      <xdr:rowOff>20955</xdr:rowOff>
    </xdr:from>
    <xdr:to>
      <xdr:col>4</xdr:col>
      <xdr:colOff>811529</xdr:colOff>
      <xdr:row>26</xdr:row>
      <xdr:rowOff>257174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5A9076C-6532-4FCC-8C76-F9D8F961B481}"/>
            </a:ext>
          </a:extLst>
        </xdr:cNvPr>
        <xdr:cNvSpPr/>
      </xdr:nvSpPr>
      <xdr:spPr>
        <a:xfrm>
          <a:off x="2849880" y="3126105"/>
          <a:ext cx="800099" cy="23621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4</xdr:col>
      <xdr:colOff>38100</xdr:colOff>
      <xdr:row>26</xdr:row>
      <xdr:rowOff>20955</xdr:rowOff>
    </xdr:from>
    <xdr:to>
      <xdr:col>4</xdr:col>
      <xdr:colOff>803909</xdr:colOff>
      <xdr:row>26</xdr:row>
      <xdr:rowOff>251459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C8FB78B-952C-44FF-8B56-B7F3EFFF543F}"/>
            </a:ext>
          </a:extLst>
        </xdr:cNvPr>
        <xdr:cNvSpPr/>
      </xdr:nvSpPr>
      <xdr:spPr>
        <a:xfrm>
          <a:off x="2266950" y="3122295"/>
          <a:ext cx="765809" cy="20192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4</xdr:col>
      <xdr:colOff>38100</xdr:colOff>
      <xdr:row>26</xdr:row>
      <xdr:rowOff>20955</xdr:rowOff>
    </xdr:from>
    <xdr:to>
      <xdr:col>4</xdr:col>
      <xdr:colOff>803909</xdr:colOff>
      <xdr:row>26</xdr:row>
      <xdr:rowOff>251459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BF2E552-9155-43A8-AD17-F8C579118978}"/>
            </a:ext>
          </a:extLst>
        </xdr:cNvPr>
        <xdr:cNvSpPr/>
      </xdr:nvSpPr>
      <xdr:spPr>
        <a:xfrm>
          <a:off x="2266950" y="3122295"/>
          <a:ext cx="765809" cy="20192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4</xdr:col>
      <xdr:colOff>38100</xdr:colOff>
      <xdr:row>26</xdr:row>
      <xdr:rowOff>20955</xdr:rowOff>
    </xdr:from>
    <xdr:to>
      <xdr:col>4</xdr:col>
      <xdr:colOff>803909</xdr:colOff>
      <xdr:row>26</xdr:row>
      <xdr:rowOff>251459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BF6A766-F0C5-42A4-9737-2AEB3F3F2629}"/>
            </a:ext>
          </a:extLst>
        </xdr:cNvPr>
        <xdr:cNvSpPr/>
      </xdr:nvSpPr>
      <xdr:spPr>
        <a:xfrm>
          <a:off x="2266950" y="3122295"/>
          <a:ext cx="765809" cy="20192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26</xdr:row>
      <xdr:rowOff>24765</xdr:rowOff>
    </xdr:from>
    <xdr:to>
      <xdr:col>4</xdr:col>
      <xdr:colOff>807719</xdr:colOff>
      <xdr:row>26</xdr:row>
      <xdr:rowOff>257174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852FB4F-038B-4D3A-ACC8-85D2014C1F86}"/>
            </a:ext>
          </a:extLst>
        </xdr:cNvPr>
        <xdr:cNvSpPr/>
      </xdr:nvSpPr>
      <xdr:spPr>
        <a:xfrm>
          <a:off x="2853690" y="3129915"/>
          <a:ext cx="792479" cy="23240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4</xdr:col>
      <xdr:colOff>11430</xdr:colOff>
      <xdr:row>26</xdr:row>
      <xdr:rowOff>20955</xdr:rowOff>
    </xdr:from>
    <xdr:to>
      <xdr:col>4</xdr:col>
      <xdr:colOff>811529</xdr:colOff>
      <xdr:row>26</xdr:row>
      <xdr:rowOff>257174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1A396FA-2612-4677-9F39-33CF6007FE21}"/>
            </a:ext>
          </a:extLst>
        </xdr:cNvPr>
        <xdr:cNvSpPr/>
      </xdr:nvSpPr>
      <xdr:spPr>
        <a:xfrm>
          <a:off x="2244090" y="3122295"/>
          <a:ext cx="798194" cy="20002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4</xdr:col>
      <xdr:colOff>38100</xdr:colOff>
      <xdr:row>26</xdr:row>
      <xdr:rowOff>20955</xdr:rowOff>
    </xdr:from>
    <xdr:to>
      <xdr:col>4</xdr:col>
      <xdr:colOff>803909</xdr:colOff>
      <xdr:row>26</xdr:row>
      <xdr:rowOff>251459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B225EE4-633B-4FFA-870B-677F499A2AC0}"/>
            </a:ext>
          </a:extLst>
        </xdr:cNvPr>
        <xdr:cNvSpPr/>
      </xdr:nvSpPr>
      <xdr:spPr>
        <a:xfrm>
          <a:off x="2266950" y="3122295"/>
          <a:ext cx="765809" cy="20192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4</xdr:col>
      <xdr:colOff>38100</xdr:colOff>
      <xdr:row>26</xdr:row>
      <xdr:rowOff>20955</xdr:rowOff>
    </xdr:from>
    <xdr:to>
      <xdr:col>4</xdr:col>
      <xdr:colOff>803909</xdr:colOff>
      <xdr:row>26</xdr:row>
      <xdr:rowOff>251459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E7EA6E-4BFE-48C1-B86D-3A7800DFDAE3}"/>
            </a:ext>
          </a:extLst>
        </xdr:cNvPr>
        <xdr:cNvSpPr/>
      </xdr:nvSpPr>
      <xdr:spPr>
        <a:xfrm>
          <a:off x="2266950" y="3122295"/>
          <a:ext cx="765809" cy="20192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  <xdr:twoCellAnchor>
    <xdr:from>
      <xdr:col>4</xdr:col>
      <xdr:colOff>38100</xdr:colOff>
      <xdr:row>26</xdr:row>
      <xdr:rowOff>20955</xdr:rowOff>
    </xdr:from>
    <xdr:to>
      <xdr:col>4</xdr:col>
      <xdr:colOff>803909</xdr:colOff>
      <xdr:row>26</xdr:row>
      <xdr:rowOff>251459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3CBA616-AF78-4377-B8F9-B9F78548958A}"/>
            </a:ext>
          </a:extLst>
        </xdr:cNvPr>
        <xdr:cNvSpPr/>
      </xdr:nvSpPr>
      <xdr:spPr>
        <a:xfrm>
          <a:off x="2266950" y="3122295"/>
          <a:ext cx="765809" cy="20192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Simulation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090E-C668-4318-85DC-1592295F760B}">
  <sheetPr codeName="Sheet1">
    <tabColor theme="9" tint="-0.249977111117893"/>
  </sheetPr>
  <dimension ref="A1:AJ52"/>
  <sheetViews>
    <sheetView topLeftCell="B1" workbookViewId="0">
      <selection activeCell="N34" sqref="N34"/>
    </sheetView>
  </sheetViews>
  <sheetFormatPr defaultRowHeight="14.4" outlineLevelRow="1" x14ac:dyDescent="0.3"/>
  <cols>
    <col min="1" max="1" width="8.88671875" hidden="1" customWidth="1"/>
    <col min="2" max="2" width="9.5546875" customWidth="1"/>
    <col min="3" max="3" width="9.88671875" customWidth="1"/>
    <col min="4" max="4" width="13.109375" customWidth="1"/>
    <col min="5" max="5" width="12" customWidth="1"/>
    <col min="7" max="7" width="9.77734375" customWidth="1"/>
    <col min="8" max="8" width="10.77734375" customWidth="1"/>
    <col min="20" max="20" width="10.109375" customWidth="1"/>
    <col min="24" max="24" width="4.44140625" customWidth="1"/>
    <col min="32" max="32" width="13.44140625" customWidth="1"/>
    <col min="33" max="33" width="16" customWidth="1"/>
    <col min="34" max="34" width="10" customWidth="1"/>
  </cols>
  <sheetData>
    <row r="1" spans="2:36" x14ac:dyDescent="0.3">
      <c r="B1" s="4" t="s">
        <v>32</v>
      </c>
      <c r="Y1" s="4" t="s">
        <v>47</v>
      </c>
    </row>
    <row r="2" spans="2:36" ht="16.2" customHeight="1" x14ac:dyDescent="0.3">
      <c r="B2" s="22" t="str">
        <f>"Indicative yield : " &amp;G29</f>
        <v>Indicative yield : CB18N08B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Y2" s="5" t="s">
        <v>5</v>
      </c>
      <c r="Z2" s="5" t="s">
        <v>30</v>
      </c>
      <c r="AA2" s="5" t="s">
        <v>38</v>
      </c>
      <c r="AB2" s="5" t="s">
        <v>39</v>
      </c>
      <c r="AC2" s="5" t="s">
        <v>40</v>
      </c>
      <c r="AD2" s="5" t="s">
        <v>46</v>
      </c>
      <c r="AE2" s="5" t="s">
        <v>0</v>
      </c>
      <c r="AF2" s="5" t="s">
        <v>35</v>
      </c>
      <c r="AG2" s="5" t="s">
        <v>34</v>
      </c>
      <c r="AH2" s="5" t="s">
        <v>56</v>
      </c>
    </row>
    <row r="3" spans="2:36" x14ac:dyDescent="0.3">
      <c r="B3" s="5" t="s">
        <v>0</v>
      </c>
      <c r="C3" s="5" t="str">
        <f t="array" ref="C3:S3">TRANSPOSE($AE$3:$AE$16)</f>
        <v>SCB</v>
      </c>
      <c r="D3" s="5" t="str">
        <v>TMB</v>
      </c>
      <c r="E3" s="5" t="str">
        <v>BBL</v>
      </c>
      <c r="F3" s="5" t="str">
        <v>KBANK</v>
      </c>
      <c r="G3" s="5" t="str">
        <v>BNP</v>
      </c>
      <c r="H3" s="5" t="str">
        <v>KTB</v>
      </c>
      <c r="I3" s="5" t="str">
        <v>MUFG</v>
      </c>
      <c r="J3" s="5" t="str">
        <v>GSB</v>
      </c>
      <c r="K3" s="5" t="str">
        <v>ICBC</v>
      </c>
      <c r="L3" s="5" t="str">
        <v>CIMB</v>
      </c>
      <c r="M3" s="5" t="str">
        <v>SC</v>
      </c>
      <c r="N3" s="5" t="str">
        <v>CITI</v>
      </c>
      <c r="O3" s="5" t="str">
        <v>HSBC</v>
      </c>
      <c r="P3" s="5" t="str">
        <v>UOB</v>
      </c>
      <c r="Q3" s="5" t="e">
        <v>#N/A</v>
      </c>
      <c r="R3" s="5" t="e">
        <v>#N/A</v>
      </c>
      <c r="S3" s="5" t="e">
        <v>#N/A</v>
      </c>
      <c r="T3" s="16" t="s">
        <v>6</v>
      </c>
      <c r="U3" s="16" t="s">
        <v>7</v>
      </c>
      <c r="V3" s="16" t="s">
        <v>8</v>
      </c>
      <c r="Y3" s="3">
        <v>1</v>
      </c>
      <c r="Z3" s="6">
        <v>1</v>
      </c>
      <c r="AA3" s="6">
        <v>1</v>
      </c>
      <c r="AB3" s="6">
        <v>1</v>
      </c>
      <c r="AC3" s="6">
        <v>0</v>
      </c>
      <c r="AD3" s="6">
        <f ca="1">IF(SUM(OFFSET(INDIRECT(ADDRESS(3,$A29)),1,0,3)) &gt; 0,1,0)</f>
        <v>1</v>
      </c>
      <c r="AE3" s="43" t="s">
        <v>16</v>
      </c>
      <c r="AF3" s="3">
        <f>SUMIF($R$29:$R$51,AE3,$S$29:$S$51)</f>
        <v>5000</v>
      </c>
      <c r="AG3" s="3">
        <f>AF3</f>
        <v>5000</v>
      </c>
      <c r="AH3" s="35"/>
      <c r="AJ3" s="4"/>
    </row>
    <row r="4" spans="2:36" x14ac:dyDescent="0.3">
      <c r="B4" s="5" t="s">
        <v>1</v>
      </c>
      <c r="C4" s="8">
        <v>2.2000000000000002</v>
      </c>
      <c r="D4" s="8">
        <v>2.1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21">
        <f>MIN(C4:S4)</f>
        <v>2.1</v>
      </c>
      <c r="U4" s="21">
        <f>MAX(C4:S4)</f>
        <v>2.2000000000000002</v>
      </c>
      <c r="V4" s="21">
        <f>AVERAGE(C4:S4)</f>
        <v>2.1500000000000004</v>
      </c>
      <c r="Y4" s="3">
        <v>1</v>
      </c>
      <c r="Z4" s="6">
        <v>2</v>
      </c>
      <c r="AA4" s="6">
        <v>1</v>
      </c>
      <c r="AB4" s="6">
        <v>1</v>
      </c>
      <c r="AC4" s="6">
        <v>0</v>
      </c>
      <c r="AD4" s="6">
        <f ca="1">IF(SUM(OFFSET(INDIRECT(ADDRESS(3,$A30)),1,0,3)) &gt; 0,1,0)</f>
        <v>1</v>
      </c>
      <c r="AE4" s="43" t="s">
        <v>17</v>
      </c>
      <c r="AF4" s="3">
        <f t="shared" ref="AF4:AF16" si="0">SUMIF($R$29:$R$51,AE4,$S$29:$S$51)</f>
        <v>0</v>
      </c>
      <c r="AG4" s="3">
        <f t="shared" ref="AG4:AG16" si="1">AF4</f>
        <v>0</v>
      </c>
      <c r="AH4" s="36"/>
    </row>
    <row r="5" spans="2:36" x14ac:dyDescent="0.3">
      <c r="B5" s="5" t="s">
        <v>2</v>
      </c>
      <c r="C5" s="8">
        <v>2.5</v>
      </c>
      <c r="D5" s="8"/>
      <c r="E5" s="8"/>
      <c r="F5" s="8">
        <v>2</v>
      </c>
      <c r="G5" s="8"/>
      <c r="H5" s="8"/>
      <c r="I5" s="8"/>
      <c r="J5" s="8"/>
      <c r="K5" s="8"/>
      <c r="L5" s="8">
        <v>1.5</v>
      </c>
      <c r="M5" s="8"/>
      <c r="N5" s="8"/>
      <c r="O5" s="8"/>
      <c r="P5" s="8"/>
      <c r="Q5" s="8"/>
      <c r="R5" s="8"/>
      <c r="S5" s="8"/>
      <c r="T5" s="21">
        <f>MIN(C5:S5)</f>
        <v>1.5</v>
      </c>
      <c r="U5" s="21">
        <f>MAX(C5:S5)</f>
        <v>2.5</v>
      </c>
      <c r="V5" s="21">
        <f>AVERAGE(C5:S5)</f>
        <v>2</v>
      </c>
      <c r="Y5" s="3">
        <v>1</v>
      </c>
      <c r="Z5" s="6">
        <v>3</v>
      </c>
      <c r="AA5" s="6">
        <v>1</v>
      </c>
      <c r="AB5" s="6">
        <v>1</v>
      </c>
      <c r="AC5" s="6">
        <v>1</v>
      </c>
      <c r="AD5" s="6">
        <f ca="1">IF(SUM(OFFSET(INDIRECT(ADDRESS(3,$A31)),1,0,3)) &gt; 0,1,0)</f>
        <v>0</v>
      </c>
      <c r="AE5" s="43" t="s">
        <v>18</v>
      </c>
      <c r="AF5" s="3">
        <f t="shared" si="0"/>
        <v>0</v>
      </c>
      <c r="AG5" s="3">
        <f t="shared" si="1"/>
        <v>0</v>
      </c>
      <c r="AH5" s="38">
        <f>SUMIF($Y$3:$Y$16,$Y$3,$AG$3:$AG$16)/$AF$17</f>
        <v>1</v>
      </c>
    </row>
    <row r="6" spans="2:36" x14ac:dyDescent="0.3">
      <c r="B6" s="5" t="s">
        <v>3</v>
      </c>
      <c r="C6" s="18">
        <v>2.12</v>
      </c>
      <c r="D6" s="18"/>
      <c r="E6" s="18"/>
      <c r="F6" s="18"/>
      <c r="G6" s="18"/>
      <c r="H6" s="18"/>
      <c r="I6" s="18">
        <v>3</v>
      </c>
      <c r="J6" s="18">
        <v>2.2999999999999998</v>
      </c>
      <c r="K6" s="18"/>
      <c r="L6" s="18"/>
      <c r="M6" s="18"/>
      <c r="N6" s="18"/>
      <c r="O6" s="18"/>
      <c r="P6" s="18"/>
      <c r="Q6" s="18"/>
      <c r="R6" s="18"/>
      <c r="S6" s="18"/>
      <c r="T6" s="21">
        <f>MIN(C6:S6)</f>
        <v>2.12</v>
      </c>
      <c r="U6" s="21">
        <f>MAX(C6:S6)</f>
        <v>3</v>
      </c>
      <c r="V6" s="21">
        <f>AVERAGE(C6:S6)</f>
        <v>2.4733333333333332</v>
      </c>
      <c r="Y6" s="3">
        <v>2</v>
      </c>
      <c r="Z6" s="6">
        <v>4</v>
      </c>
      <c r="AA6" s="6">
        <v>1</v>
      </c>
      <c r="AB6" s="6">
        <v>1</v>
      </c>
      <c r="AC6" s="6">
        <v>1</v>
      </c>
      <c r="AD6" s="6">
        <f ca="1">IF(SUM(OFFSET(INDIRECT(ADDRESS(3,$A32)),1,0,3)) &gt; 0,1,0)</f>
        <v>1</v>
      </c>
      <c r="AE6" s="43" t="s">
        <v>19</v>
      </c>
      <c r="AF6" s="3">
        <f t="shared" si="0"/>
        <v>0</v>
      </c>
      <c r="AG6" s="32">
        <f t="shared" si="1"/>
        <v>0</v>
      </c>
      <c r="AH6" s="36"/>
    </row>
    <row r="7" spans="2:36" x14ac:dyDescent="0.3">
      <c r="B7" s="9" t="s">
        <v>8</v>
      </c>
      <c r="C7" s="1">
        <f>IFERROR(AVERAGE(C4:C6),"")</f>
        <v>2.2733333333333334</v>
      </c>
      <c r="D7" s="1">
        <f t="shared" ref="D7:S7" si="2">IFERROR(AVERAGE(D4:D6),"")</f>
        <v>2.1</v>
      </c>
      <c r="E7" s="1" t="str">
        <f t="shared" si="2"/>
        <v/>
      </c>
      <c r="F7" s="1">
        <f t="shared" si="2"/>
        <v>2</v>
      </c>
      <c r="G7" s="1" t="str">
        <f t="shared" si="2"/>
        <v/>
      </c>
      <c r="H7" s="1" t="str">
        <f t="shared" si="2"/>
        <v/>
      </c>
      <c r="I7" s="1">
        <f t="shared" si="2"/>
        <v>3</v>
      </c>
      <c r="J7" s="1">
        <f t="shared" si="2"/>
        <v>2.2999999999999998</v>
      </c>
      <c r="K7" s="1" t="str">
        <f t="shared" si="2"/>
        <v/>
      </c>
      <c r="L7" s="1">
        <f t="shared" si="2"/>
        <v>1.5</v>
      </c>
      <c r="M7" s="1" t="str">
        <f t="shared" si="2"/>
        <v/>
      </c>
      <c r="N7" s="1" t="str">
        <f t="shared" si="2"/>
        <v/>
      </c>
      <c r="O7" s="1" t="str">
        <f t="shared" si="2"/>
        <v/>
      </c>
      <c r="P7" s="1" t="str">
        <f t="shared" si="2"/>
        <v/>
      </c>
      <c r="Q7" s="1" t="str">
        <f t="shared" si="2"/>
        <v/>
      </c>
      <c r="R7" s="1" t="str">
        <f t="shared" si="2"/>
        <v/>
      </c>
      <c r="S7" s="1" t="str">
        <f t="shared" si="2"/>
        <v/>
      </c>
      <c r="T7" s="17">
        <f>MAX(T4:T6)</f>
        <v>2.12</v>
      </c>
      <c r="U7" s="17">
        <f>MAX(U4:U6)</f>
        <v>3</v>
      </c>
      <c r="V7" s="17">
        <f>MAX(V4:V6)</f>
        <v>2.4733333333333332</v>
      </c>
      <c r="Y7" s="3">
        <v>2</v>
      </c>
      <c r="Z7" s="6">
        <v>5</v>
      </c>
      <c r="AA7" s="6">
        <v>1</v>
      </c>
      <c r="AB7" s="6">
        <v>1</v>
      </c>
      <c r="AC7" s="6">
        <v>0</v>
      </c>
      <c r="AD7" s="6">
        <f ca="1">IF(SUM(OFFSET(INDIRECT(ADDRESS(3,$A33)),1,0,3)) &gt; 0,1,0)</f>
        <v>0</v>
      </c>
      <c r="AE7" s="43" t="s">
        <v>20</v>
      </c>
      <c r="AF7" s="3">
        <f t="shared" si="0"/>
        <v>0</v>
      </c>
      <c r="AG7" s="3">
        <f t="shared" si="1"/>
        <v>0</v>
      </c>
      <c r="AH7" s="36"/>
    </row>
    <row r="8" spans="2:36" x14ac:dyDescent="0.3">
      <c r="Y8" s="3">
        <v>2</v>
      </c>
      <c r="Z8" s="6">
        <v>6</v>
      </c>
      <c r="AA8" s="6">
        <v>1</v>
      </c>
      <c r="AB8" s="6">
        <v>1</v>
      </c>
      <c r="AC8" s="6">
        <v>0</v>
      </c>
      <c r="AD8" s="6">
        <f ca="1">IF(SUM(OFFSET(INDIRECT(ADDRESS(3,$A34)),1,0,3)) &gt; 0,1,0)</f>
        <v>0</v>
      </c>
      <c r="AE8" s="43" t="s">
        <v>21</v>
      </c>
      <c r="AF8" s="3">
        <f t="shared" si="0"/>
        <v>0</v>
      </c>
      <c r="AG8" s="3">
        <f t="shared" si="1"/>
        <v>0</v>
      </c>
      <c r="AH8" s="36"/>
    </row>
    <row r="9" spans="2:36" x14ac:dyDescent="0.3">
      <c r="B9" s="22" t="str">
        <f>"Indicative yield : " &amp;G30</f>
        <v>Indicative yield : CB19606A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Y9" s="3">
        <v>2</v>
      </c>
      <c r="Z9" s="6">
        <v>7</v>
      </c>
      <c r="AA9" s="6">
        <v>1</v>
      </c>
      <c r="AB9" s="6">
        <v>1</v>
      </c>
      <c r="AC9" s="6">
        <v>0</v>
      </c>
      <c r="AD9" s="6">
        <f ca="1">IF(SUM(OFFSET(INDIRECT(ADDRESS(3,$A35)),1,0,3)) &gt; 0,1,0)</f>
        <v>1</v>
      </c>
      <c r="AE9" s="43" t="s">
        <v>22</v>
      </c>
      <c r="AF9" s="3">
        <f t="shared" si="0"/>
        <v>0</v>
      </c>
      <c r="AG9" s="3">
        <f t="shared" si="1"/>
        <v>0</v>
      </c>
      <c r="AH9" s="36"/>
    </row>
    <row r="10" spans="2:36" x14ac:dyDescent="0.3">
      <c r="B10" s="5" t="s">
        <v>0</v>
      </c>
      <c r="C10" s="5" t="str">
        <f t="array" ref="C10:S10">TRANSPOSE($AE$3:$AE$16)</f>
        <v>SCB</v>
      </c>
      <c r="D10" s="5" t="str">
        <v>TMB</v>
      </c>
      <c r="E10" s="5" t="str">
        <v>BBL</v>
      </c>
      <c r="F10" s="5" t="str">
        <v>KBANK</v>
      </c>
      <c r="G10" s="5" t="str">
        <v>BNP</v>
      </c>
      <c r="H10" s="5" t="str">
        <v>KTB</v>
      </c>
      <c r="I10" s="5" t="str">
        <v>MUFG</v>
      </c>
      <c r="J10" s="5" t="str">
        <v>GSB</v>
      </c>
      <c r="K10" s="5" t="str">
        <v>ICBC</v>
      </c>
      <c r="L10" s="5" t="str">
        <v>CIMB</v>
      </c>
      <c r="M10" s="5" t="str">
        <v>SC</v>
      </c>
      <c r="N10" s="5" t="str">
        <v>CITI</v>
      </c>
      <c r="O10" s="5" t="str">
        <v>HSBC</v>
      </c>
      <c r="P10" s="5" t="str">
        <v>UOB</v>
      </c>
      <c r="Q10" s="5" t="e">
        <v>#N/A</v>
      </c>
      <c r="R10" s="5" t="e">
        <v>#N/A</v>
      </c>
      <c r="S10" s="5" t="e">
        <v>#N/A</v>
      </c>
      <c r="T10" s="16" t="s">
        <v>6</v>
      </c>
      <c r="U10" s="16" t="s">
        <v>7</v>
      </c>
      <c r="V10" s="16" t="s">
        <v>8</v>
      </c>
      <c r="Y10" s="3">
        <v>2</v>
      </c>
      <c r="Z10" s="6">
        <v>8</v>
      </c>
      <c r="AA10" s="6">
        <v>1</v>
      </c>
      <c r="AB10" s="6">
        <v>1</v>
      </c>
      <c r="AC10" s="6">
        <v>0</v>
      </c>
      <c r="AD10" s="6">
        <f ca="1">IF(SUM(OFFSET(INDIRECT(ADDRESS(3,$A36)),1,0,3)) &gt; 0,1,0)</f>
        <v>1</v>
      </c>
      <c r="AE10" s="43" t="s">
        <v>23</v>
      </c>
      <c r="AF10" s="3">
        <f t="shared" si="0"/>
        <v>0</v>
      </c>
      <c r="AG10" s="3">
        <f t="shared" si="1"/>
        <v>0</v>
      </c>
      <c r="AH10" s="38">
        <f>SUMIF($Y$3:$Y$16,$Y$6,$AG$3:$AG$16)/$AF$17</f>
        <v>0</v>
      </c>
    </row>
    <row r="11" spans="2:36" x14ac:dyDescent="0.3">
      <c r="B11" s="5" t="s">
        <v>1</v>
      </c>
      <c r="C11" s="8">
        <v>2.2000000000000002</v>
      </c>
      <c r="D11" s="8">
        <v>2.1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21">
        <f>MIN(C11:S11)</f>
        <v>2.1</v>
      </c>
      <c r="U11" s="21">
        <f>MAX(C11:S11)</f>
        <v>2.2000000000000002</v>
      </c>
      <c r="V11" s="21">
        <f>AVERAGE(C11:S11)</f>
        <v>2.1500000000000004</v>
      </c>
      <c r="Y11" s="3">
        <v>3</v>
      </c>
      <c r="Z11" s="6">
        <v>9</v>
      </c>
      <c r="AA11" s="6">
        <v>1</v>
      </c>
      <c r="AB11" s="6">
        <v>1</v>
      </c>
      <c r="AC11" s="6">
        <v>0</v>
      </c>
      <c r="AD11" s="6">
        <f ca="1">IF(SUM(OFFSET(INDIRECT(ADDRESS(3,$A37)),1,0,3)) &gt; 0,1,0)</f>
        <v>0</v>
      </c>
      <c r="AE11" s="43" t="s">
        <v>24</v>
      </c>
      <c r="AF11" s="3">
        <f t="shared" si="0"/>
        <v>0</v>
      </c>
      <c r="AG11" s="32">
        <f t="shared" si="1"/>
        <v>0</v>
      </c>
      <c r="AH11" s="36"/>
    </row>
    <row r="12" spans="2:36" x14ac:dyDescent="0.3">
      <c r="B12" s="5" t="s">
        <v>2</v>
      </c>
      <c r="C12" s="8">
        <v>2.5</v>
      </c>
      <c r="D12" s="8"/>
      <c r="E12" s="8"/>
      <c r="F12" s="8">
        <v>2</v>
      </c>
      <c r="G12" s="8"/>
      <c r="H12" s="8"/>
      <c r="I12" s="8"/>
      <c r="J12" s="8"/>
      <c r="K12" s="8"/>
      <c r="L12" s="8">
        <v>1.5</v>
      </c>
      <c r="M12" s="8"/>
      <c r="N12" s="8"/>
      <c r="O12" s="8"/>
      <c r="P12" s="8"/>
      <c r="Q12" s="8"/>
      <c r="R12" s="8"/>
      <c r="S12" s="8"/>
      <c r="T12" s="21">
        <f>MIN(C12:S12)</f>
        <v>1.5</v>
      </c>
      <c r="U12" s="21">
        <f>MAX(C12:S12)</f>
        <v>2.5</v>
      </c>
      <c r="V12" s="21">
        <f>AVERAGE(C12:S12)</f>
        <v>2</v>
      </c>
      <c r="Y12" s="3">
        <v>3</v>
      </c>
      <c r="Z12" s="6">
        <v>10</v>
      </c>
      <c r="AA12" s="6">
        <v>1</v>
      </c>
      <c r="AB12" s="6">
        <v>1</v>
      </c>
      <c r="AC12" s="6">
        <v>0</v>
      </c>
      <c r="AD12" s="6">
        <f ca="1">IF(SUM(OFFSET(INDIRECT(ADDRESS(3,$A38)),1,0,3)) &gt; 0,1,0)</f>
        <v>1</v>
      </c>
      <c r="AE12" s="43" t="s">
        <v>25</v>
      </c>
      <c r="AF12" s="3">
        <f t="shared" si="0"/>
        <v>0</v>
      </c>
      <c r="AG12" s="3">
        <f t="shared" si="1"/>
        <v>0</v>
      </c>
      <c r="AH12" s="36"/>
    </row>
    <row r="13" spans="2:36" x14ac:dyDescent="0.3">
      <c r="B13" s="5" t="s">
        <v>3</v>
      </c>
      <c r="C13" s="18">
        <v>2.12</v>
      </c>
      <c r="D13" s="18"/>
      <c r="E13" s="18"/>
      <c r="F13" s="18"/>
      <c r="G13" s="18"/>
      <c r="H13" s="18"/>
      <c r="I13" s="18">
        <v>3</v>
      </c>
      <c r="J13" s="18">
        <v>2.2999999999999998</v>
      </c>
      <c r="K13" s="18"/>
      <c r="L13" s="18"/>
      <c r="M13" s="18"/>
      <c r="N13" s="18"/>
      <c r="O13" s="18"/>
      <c r="P13" s="18"/>
      <c r="Q13" s="18"/>
      <c r="R13" s="18"/>
      <c r="S13" s="18"/>
      <c r="T13" s="21">
        <f>MIN(C13:S13)</f>
        <v>2.12</v>
      </c>
      <c r="U13" s="21">
        <f>MAX(C13:S13)</f>
        <v>3</v>
      </c>
      <c r="V13" s="21">
        <f>AVERAGE(C13:S13)</f>
        <v>2.4733333333333332</v>
      </c>
      <c r="Y13" s="3">
        <v>3</v>
      </c>
      <c r="Z13" s="6">
        <v>11</v>
      </c>
      <c r="AA13" s="6">
        <v>1</v>
      </c>
      <c r="AB13" s="6">
        <v>1</v>
      </c>
      <c r="AC13" s="6">
        <v>0</v>
      </c>
      <c r="AD13" s="6">
        <f ca="1">IF(SUM(OFFSET(INDIRECT(ADDRESS(3,$A39)),1,0,3)) &gt; 0,1,0)</f>
        <v>0</v>
      </c>
      <c r="AE13" s="43" t="s">
        <v>26</v>
      </c>
      <c r="AF13" s="3">
        <f t="shared" si="0"/>
        <v>0</v>
      </c>
      <c r="AG13" s="3">
        <f t="shared" si="1"/>
        <v>0</v>
      </c>
      <c r="AH13" s="36"/>
    </row>
    <row r="14" spans="2:36" x14ac:dyDescent="0.3">
      <c r="B14" s="9" t="s">
        <v>8</v>
      </c>
      <c r="C14" s="1">
        <f>IFERROR(AVERAGE(C11:C13),"")</f>
        <v>2.2733333333333334</v>
      </c>
      <c r="D14" s="1">
        <f t="shared" ref="D14" si="3">IFERROR(AVERAGE(D11:D13),"")</f>
        <v>2.1</v>
      </c>
      <c r="E14" s="1" t="str">
        <f t="shared" ref="E14" si="4">IFERROR(AVERAGE(E11:E13),"")</f>
        <v/>
      </c>
      <c r="F14" s="1">
        <f t="shared" ref="F14" si="5">IFERROR(AVERAGE(F11:F13),"")</f>
        <v>2</v>
      </c>
      <c r="G14" s="1" t="str">
        <f t="shared" ref="G14" si="6">IFERROR(AVERAGE(G11:G13),"")</f>
        <v/>
      </c>
      <c r="H14" s="1" t="str">
        <f t="shared" ref="H14" si="7">IFERROR(AVERAGE(H11:H13),"")</f>
        <v/>
      </c>
      <c r="I14" s="1">
        <f t="shared" ref="I14" si="8">IFERROR(AVERAGE(I11:I13),"")</f>
        <v>3</v>
      </c>
      <c r="J14" s="1">
        <f t="shared" ref="J14" si="9">IFERROR(AVERAGE(J11:J13),"")</f>
        <v>2.2999999999999998</v>
      </c>
      <c r="K14" s="1" t="str">
        <f t="shared" ref="K14" si="10">IFERROR(AVERAGE(K11:K13),"")</f>
        <v/>
      </c>
      <c r="L14" s="1">
        <f t="shared" ref="L14" si="11">IFERROR(AVERAGE(L11:L13),"")</f>
        <v>1.5</v>
      </c>
      <c r="M14" s="1" t="str">
        <f t="shared" ref="M14" si="12">IFERROR(AVERAGE(M11:M13),"")</f>
        <v/>
      </c>
      <c r="N14" s="1" t="str">
        <f t="shared" ref="N14" si="13">IFERROR(AVERAGE(N11:N13),"")</f>
        <v/>
      </c>
      <c r="O14" s="1" t="str">
        <f t="shared" ref="O14" si="14">IFERROR(AVERAGE(O11:O13),"")</f>
        <v/>
      </c>
      <c r="P14" s="1" t="str">
        <f t="shared" ref="P14" si="15">IFERROR(AVERAGE(P11:P13),"")</f>
        <v/>
      </c>
      <c r="Q14" s="1" t="str">
        <f t="shared" ref="Q14" si="16">IFERROR(AVERAGE(Q11:Q13),"")</f>
        <v/>
      </c>
      <c r="R14" s="1" t="str">
        <f t="shared" ref="R14" si="17">IFERROR(AVERAGE(R11:R13),"")</f>
        <v/>
      </c>
      <c r="S14" s="1" t="str">
        <f t="shared" ref="S14" si="18">IFERROR(AVERAGE(S11:S13),"")</f>
        <v/>
      </c>
      <c r="T14" s="17">
        <f>MAX(T11:T13)</f>
        <v>2.12</v>
      </c>
      <c r="U14" s="17">
        <f t="shared" ref="U14:V14" si="19">MAX(U11:U13)</f>
        <v>3</v>
      </c>
      <c r="V14" s="17">
        <f t="shared" si="19"/>
        <v>2.4733333333333332</v>
      </c>
      <c r="Y14" s="3">
        <v>3</v>
      </c>
      <c r="Z14" s="6">
        <v>12</v>
      </c>
      <c r="AA14" s="6">
        <v>1</v>
      </c>
      <c r="AB14" s="6">
        <v>1</v>
      </c>
      <c r="AC14" s="6">
        <v>0</v>
      </c>
      <c r="AD14" s="6">
        <f ca="1">IF(SUM(OFFSET(INDIRECT(ADDRESS(3,$A40)),1,0,3)) &gt; 0,1,0)</f>
        <v>0</v>
      </c>
      <c r="AE14" s="43" t="s">
        <v>27</v>
      </c>
      <c r="AF14" s="3">
        <f t="shared" si="0"/>
        <v>0</v>
      </c>
      <c r="AG14" s="3">
        <f t="shared" si="1"/>
        <v>0</v>
      </c>
      <c r="AH14" s="36"/>
    </row>
    <row r="15" spans="2:36" x14ac:dyDescent="0.3">
      <c r="Y15" s="3">
        <v>3</v>
      </c>
      <c r="Z15" s="6">
        <v>13</v>
      </c>
      <c r="AA15" s="6">
        <v>1</v>
      </c>
      <c r="AB15" s="6">
        <v>1</v>
      </c>
      <c r="AC15" s="6">
        <v>0</v>
      </c>
      <c r="AD15" s="6">
        <f ca="1">IF(SUM(OFFSET(INDIRECT(ADDRESS(3,$A41)),1,0,3)) &gt; 0,1,0)</f>
        <v>0</v>
      </c>
      <c r="AE15" s="43" t="s">
        <v>28</v>
      </c>
      <c r="AF15" s="3">
        <f t="shared" si="0"/>
        <v>0</v>
      </c>
      <c r="AG15" s="3">
        <f t="shared" si="1"/>
        <v>0</v>
      </c>
      <c r="AH15" s="36"/>
    </row>
    <row r="16" spans="2:36" x14ac:dyDescent="0.3">
      <c r="Y16" s="3">
        <v>3</v>
      </c>
      <c r="Z16" s="6">
        <v>14</v>
      </c>
      <c r="AA16" s="6">
        <v>1</v>
      </c>
      <c r="AB16" s="6">
        <v>1</v>
      </c>
      <c r="AC16" s="6">
        <v>0</v>
      </c>
      <c r="AD16" s="6">
        <f ca="1">IF(SUM(OFFSET(INDIRECT(ADDRESS(3,$A42)),1,0,3)) &gt; 0,1,0)</f>
        <v>0</v>
      </c>
      <c r="AE16" s="43" t="s">
        <v>29</v>
      </c>
      <c r="AF16" s="3">
        <f t="shared" si="0"/>
        <v>0</v>
      </c>
      <c r="AG16" s="3">
        <f t="shared" si="1"/>
        <v>0</v>
      </c>
      <c r="AH16" s="38">
        <f>SUMIF($Y$3:$Y$16,$Y$11,$AG$3:$AG$16)/$AF$17</f>
        <v>0</v>
      </c>
    </row>
    <row r="17" spans="1:34" x14ac:dyDescent="0.3">
      <c r="AE17" s="9" t="s">
        <v>31</v>
      </c>
      <c r="AF17" s="12">
        <f>SUM(AF3:AF16)</f>
        <v>5000</v>
      </c>
      <c r="AG17" s="39"/>
      <c r="AH17" s="37"/>
    </row>
    <row r="18" spans="1:34" hidden="1" outlineLevel="1" x14ac:dyDescent="0.3">
      <c r="B18" s="22" t="str">
        <f>"Indicative yield : " &amp;G31</f>
        <v>Indicative yield : CB19207A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34" hidden="1" outlineLevel="1" x14ac:dyDescent="0.3">
      <c r="B19" s="5" t="s">
        <v>0</v>
      </c>
      <c r="C19" s="5" t="str">
        <f t="array" ref="C19:S19">TRANSPOSE($AE$3:$AE$16)</f>
        <v>SCB</v>
      </c>
      <c r="D19" s="5" t="str">
        <v>TMB</v>
      </c>
      <c r="E19" s="5" t="str">
        <v>BBL</v>
      </c>
      <c r="F19" s="5" t="str">
        <v>KBANK</v>
      </c>
      <c r="G19" s="5" t="str">
        <v>BNP</v>
      </c>
      <c r="H19" s="5" t="str">
        <v>KTB</v>
      </c>
      <c r="I19" s="5" t="str">
        <v>MUFG</v>
      </c>
      <c r="J19" s="5" t="str">
        <v>GSB</v>
      </c>
      <c r="K19" s="5" t="str">
        <v>ICBC</v>
      </c>
      <c r="L19" s="5" t="str">
        <v>CIMB</v>
      </c>
      <c r="M19" s="5" t="str">
        <v>SC</v>
      </c>
      <c r="N19" s="5" t="str">
        <v>CITI</v>
      </c>
      <c r="O19" s="5" t="str">
        <v>HSBC</v>
      </c>
      <c r="P19" s="5" t="str">
        <v>UOB</v>
      </c>
      <c r="Q19" s="5" t="e">
        <v>#N/A</v>
      </c>
      <c r="R19" s="5" t="e">
        <v>#N/A</v>
      </c>
      <c r="S19" s="5" t="e">
        <v>#N/A</v>
      </c>
      <c r="T19" s="16" t="s">
        <v>6</v>
      </c>
      <c r="U19" s="16" t="s">
        <v>7</v>
      </c>
      <c r="V19" s="16" t="s">
        <v>8</v>
      </c>
    </row>
    <row r="20" spans="1:34" hidden="1" outlineLevel="1" x14ac:dyDescent="0.3">
      <c r="B20" s="5" t="s">
        <v>1</v>
      </c>
      <c r="C20" s="8">
        <v>2.2000000000000002</v>
      </c>
      <c r="D20" s="8">
        <v>2.1</v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21">
        <f>MIN(C20:S20)</f>
        <v>2.1</v>
      </c>
      <c r="U20" s="21">
        <f>MAX(C20:S20)</f>
        <v>2.2000000000000002</v>
      </c>
      <c r="V20" s="21">
        <f>AVERAGE(C20:S20)</f>
        <v>2.1500000000000004</v>
      </c>
    </row>
    <row r="21" spans="1:34" hidden="1" outlineLevel="1" x14ac:dyDescent="0.3">
      <c r="B21" s="5" t="s">
        <v>2</v>
      </c>
      <c r="C21" s="8">
        <v>2.5</v>
      </c>
      <c r="D21" s="8"/>
      <c r="E21" s="8"/>
      <c r="F21" s="8">
        <v>2</v>
      </c>
      <c r="G21" s="8"/>
      <c r="H21" s="8"/>
      <c r="I21" s="8"/>
      <c r="J21" s="8"/>
      <c r="K21" s="8"/>
      <c r="L21" s="8">
        <v>1.5</v>
      </c>
      <c r="M21" s="8"/>
      <c r="N21" s="8"/>
      <c r="O21" s="8"/>
      <c r="P21" s="8"/>
      <c r="Q21" s="8"/>
      <c r="R21" s="8"/>
      <c r="S21" s="8"/>
      <c r="T21" s="21">
        <f>MIN(C21:S21)</f>
        <v>1.5</v>
      </c>
      <c r="U21" s="21">
        <f>MAX(C21:S21)</f>
        <v>2.5</v>
      </c>
      <c r="V21" s="21">
        <f>AVERAGE(C21:S21)</f>
        <v>2</v>
      </c>
      <c r="Y21" s="28"/>
      <c r="Z21" s="28"/>
    </row>
    <row r="22" spans="1:34" hidden="1" outlineLevel="1" x14ac:dyDescent="0.3">
      <c r="B22" s="5" t="s">
        <v>3</v>
      </c>
      <c r="C22" s="18">
        <v>2.12</v>
      </c>
      <c r="D22" s="18"/>
      <c r="E22" s="18"/>
      <c r="F22" s="18"/>
      <c r="G22" s="18"/>
      <c r="H22" s="18"/>
      <c r="I22" s="18">
        <v>3</v>
      </c>
      <c r="J22" s="18">
        <v>2.2999999999999998</v>
      </c>
      <c r="K22" s="18"/>
      <c r="L22" s="18"/>
      <c r="M22" s="18"/>
      <c r="N22" s="18"/>
      <c r="O22" s="18"/>
      <c r="P22" s="18"/>
      <c r="Q22" s="18"/>
      <c r="R22" s="18"/>
      <c r="S22" s="18"/>
      <c r="T22" s="21">
        <f>MIN(C22:S22)</f>
        <v>2.12</v>
      </c>
      <c r="U22" s="21">
        <f>MAX(C22:S22)</f>
        <v>3</v>
      </c>
      <c r="V22" s="21">
        <f>AVERAGE(C22:S22)</f>
        <v>2.4733333333333332</v>
      </c>
    </row>
    <row r="23" spans="1:34" hidden="1" outlineLevel="1" x14ac:dyDescent="0.3">
      <c r="B23" s="9" t="s">
        <v>8</v>
      </c>
      <c r="C23" s="1">
        <f>IFERROR(AVERAGE(C20:C22),"")</f>
        <v>2.2733333333333334</v>
      </c>
      <c r="D23" s="1">
        <f t="shared" ref="D23" si="20">IFERROR(AVERAGE(D20:D22),"")</f>
        <v>2.1</v>
      </c>
      <c r="E23" s="1" t="str">
        <f t="shared" ref="E23" si="21">IFERROR(AVERAGE(E20:E22),"")</f>
        <v/>
      </c>
      <c r="F23" s="1">
        <f t="shared" ref="F23" si="22">IFERROR(AVERAGE(F20:F22),"")</f>
        <v>2</v>
      </c>
      <c r="G23" s="1" t="str">
        <f t="shared" ref="G23" si="23">IFERROR(AVERAGE(G20:G22),"")</f>
        <v/>
      </c>
      <c r="H23" s="1" t="str">
        <f t="shared" ref="H23" si="24">IFERROR(AVERAGE(H20:H22),"")</f>
        <v/>
      </c>
      <c r="I23" s="1">
        <f t="shared" ref="I23" si="25">IFERROR(AVERAGE(I20:I22),"")</f>
        <v>3</v>
      </c>
      <c r="J23" s="1">
        <f t="shared" ref="J23" si="26">IFERROR(AVERAGE(J20:J22),"")</f>
        <v>2.2999999999999998</v>
      </c>
      <c r="K23" s="1" t="str">
        <f t="shared" ref="K23" si="27">IFERROR(AVERAGE(K20:K22),"")</f>
        <v/>
      </c>
      <c r="L23" s="1">
        <f t="shared" ref="L23" si="28">IFERROR(AVERAGE(L20:L22),"")</f>
        <v>1.5</v>
      </c>
      <c r="M23" s="1" t="str">
        <f t="shared" ref="M23" si="29">IFERROR(AVERAGE(M20:M22),"")</f>
        <v/>
      </c>
      <c r="N23" s="1" t="str">
        <f t="shared" ref="N23" si="30">IFERROR(AVERAGE(N20:N22),"")</f>
        <v/>
      </c>
      <c r="O23" s="1" t="str">
        <f t="shared" ref="O23" si="31">IFERROR(AVERAGE(O20:O22),"")</f>
        <v/>
      </c>
      <c r="P23" s="1" t="str">
        <f t="shared" ref="P23" si="32">IFERROR(AVERAGE(P20:P22),"")</f>
        <v/>
      </c>
      <c r="Q23" s="1" t="str">
        <f t="shared" ref="Q23" si="33">IFERROR(AVERAGE(Q20:Q22),"")</f>
        <v/>
      </c>
      <c r="R23" s="1" t="str">
        <f t="shared" ref="R23" si="34">IFERROR(AVERAGE(R20:R22),"")</f>
        <v/>
      </c>
      <c r="S23" s="1" t="str">
        <f t="shared" ref="S23" si="35">IFERROR(AVERAGE(S20:S22),"")</f>
        <v/>
      </c>
      <c r="T23" s="17">
        <f>MAX(T20:T22)</f>
        <v>2.12</v>
      </c>
      <c r="U23" s="17">
        <f t="shared" ref="U23:V23" si="36">MAX(U20:U22)</f>
        <v>3</v>
      </c>
      <c r="V23" s="17">
        <f t="shared" si="36"/>
        <v>2.4733333333333332</v>
      </c>
    </row>
    <row r="24" spans="1:34" hidden="1" outlineLevel="1" x14ac:dyDescent="0.3"/>
    <row r="25" spans="1:34" hidden="1" outlineLevel="1" x14ac:dyDescent="0.3"/>
    <row r="26" spans="1:34" hidden="1" outlineLevel="1" x14ac:dyDescent="0.3"/>
    <row r="27" spans="1:34" ht="21" customHeight="1" collapsed="1" x14ac:dyDescent="0.3">
      <c r="B27" s="4" t="str">
        <f>"Auction Simulation : "</f>
        <v xml:space="preserve">Auction Simulation : </v>
      </c>
      <c r="D27" s="29" t="str">
        <f>G29</f>
        <v>CB18N08B</v>
      </c>
      <c r="G27" s="4" t="s">
        <v>37</v>
      </c>
      <c r="N27" s="4" t="str">
        <f>"Auction Excute : " &amp; G29</f>
        <v>Auction Excute : CB18N08B</v>
      </c>
      <c r="R27" s="4" t="s">
        <v>33</v>
      </c>
      <c r="Y27" s="4" t="s">
        <v>49</v>
      </c>
    </row>
    <row r="28" spans="1:34" x14ac:dyDescent="0.3">
      <c r="B28" s="5" t="s">
        <v>30</v>
      </c>
      <c r="C28" s="5" t="s">
        <v>0</v>
      </c>
      <c r="D28" s="5" t="s">
        <v>4</v>
      </c>
      <c r="E28" s="5" t="s">
        <v>41</v>
      </c>
      <c r="G28" s="9" t="s">
        <v>42</v>
      </c>
      <c r="H28" s="9" t="s">
        <v>48</v>
      </c>
      <c r="I28" s="9" t="s">
        <v>31</v>
      </c>
      <c r="J28" s="9" t="s">
        <v>38</v>
      </c>
      <c r="K28" s="9" t="s">
        <v>39</v>
      </c>
      <c r="L28" s="9" t="s">
        <v>40</v>
      </c>
      <c r="N28" s="5" t="s">
        <v>0</v>
      </c>
      <c r="O28" s="5" t="s">
        <v>4</v>
      </c>
      <c r="P28" s="5" t="s">
        <v>41</v>
      </c>
      <c r="R28" s="5" t="s">
        <v>0</v>
      </c>
      <c r="S28" s="5" t="s">
        <v>4</v>
      </c>
      <c r="T28" s="5" t="s">
        <v>41</v>
      </c>
      <c r="Y28" t="s">
        <v>50</v>
      </c>
      <c r="Z28" s="15">
        <v>1</v>
      </c>
    </row>
    <row r="29" spans="1:34" x14ac:dyDescent="0.3">
      <c r="A29">
        <f>MATCH(C29,$A$3:$S$3,0)</f>
        <v>3</v>
      </c>
      <c r="B29" s="3">
        <f>INDEX($Z$3:$Z$16,MATCH(C29,$AE$3:$AE$16,0))</f>
        <v>1</v>
      </c>
      <c r="C29" s="1" t="str">
        <f t="array" ref="C29:C42">AE3:AE16</f>
        <v>SCB</v>
      </c>
      <c r="D29" s="19"/>
      <c r="E29" s="1"/>
      <c r="G29" s="14" t="s">
        <v>43</v>
      </c>
      <c r="H29" s="14"/>
      <c r="I29" s="14"/>
      <c r="J29" s="14"/>
      <c r="K29" s="14"/>
      <c r="L29" s="14"/>
      <c r="N29" s="14" t="s">
        <v>16</v>
      </c>
      <c r="O29" s="8"/>
      <c r="P29" s="3"/>
      <c r="R29" s="2" t="str">
        <f t="array" ref="R29:R37">N29:N37</f>
        <v>SCB</v>
      </c>
      <c r="S29" s="8">
        <v>5000</v>
      </c>
      <c r="T29" s="3"/>
      <c r="Y29" t="s">
        <v>51</v>
      </c>
      <c r="Z29" s="15">
        <v>0.4</v>
      </c>
    </row>
    <row r="30" spans="1:34" x14ac:dyDescent="0.3">
      <c r="A30">
        <f>MATCH(C30,$A$3:$S$3,0)</f>
        <v>4</v>
      </c>
      <c r="B30" s="3">
        <f>INDEX($Z$3:$Z$16,MATCH(C30,$AE$3:$AE$16,0))</f>
        <v>2</v>
      </c>
      <c r="C30" s="1" t="str">
        <v>TMB</v>
      </c>
      <c r="D30" s="19"/>
      <c r="E30" s="1"/>
      <c r="G30" s="14" t="s">
        <v>44</v>
      </c>
      <c r="H30" s="14"/>
      <c r="I30" s="14"/>
      <c r="J30" s="14"/>
      <c r="K30" s="14"/>
      <c r="L30" s="14"/>
      <c r="N30" s="14" t="s">
        <v>18</v>
      </c>
      <c r="O30" s="14"/>
      <c r="P30" s="1"/>
      <c r="R30" s="2" t="str">
        <v>BBL</v>
      </c>
      <c r="S30" s="14"/>
      <c r="T30" s="1"/>
      <c r="Y30" t="s">
        <v>52</v>
      </c>
      <c r="Z30" s="15">
        <v>0.1</v>
      </c>
    </row>
    <row r="31" spans="1:34" x14ac:dyDescent="0.3">
      <c r="A31">
        <f>MATCH(C31,$A$3:$S$3,0)</f>
        <v>5</v>
      </c>
      <c r="B31" s="3">
        <f>INDEX($Z$3:$Z$16,MATCH(C31,$AE$3:$AE$16,0))</f>
        <v>3</v>
      </c>
      <c r="C31" s="1" t="str">
        <v>BBL</v>
      </c>
      <c r="D31" s="19"/>
      <c r="E31" s="1"/>
      <c r="G31" s="14" t="s">
        <v>45</v>
      </c>
      <c r="H31" s="14"/>
      <c r="I31" s="14"/>
      <c r="J31" s="14"/>
      <c r="K31" s="14"/>
      <c r="L31" s="14"/>
      <c r="N31" s="14"/>
      <c r="O31" s="14"/>
      <c r="P31" s="1"/>
      <c r="R31" s="2">
        <v>0</v>
      </c>
      <c r="S31" s="14"/>
      <c r="T31" s="1"/>
    </row>
    <row r="32" spans="1:34" x14ac:dyDescent="0.3">
      <c r="A32">
        <f>MATCH(C32,$A$3:$S$3,0)</f>
        <v>6</v>
      </c>
      <c r="B32" s="3">
        <f>INDEX($Z$3:$Z$16,MATCH(C32,$AE$3:$AE$16,0))</f>
        <v>4</v>
      </c>
      <c r="C32" s="1" t="str">
        <v>KBANK</v>
      </c>
      <c r="D32" s="19"/>
      <c r="E32" s="1"/>
      <c r="N32" s="14"/>
      <c r="O32" s="14"/>
      <c r="P32" s="1"/>
      <c r="R32" s="2">
        <v>0</v>
      </c>
      <c r="S32" s="14"/>
      <c r="T32" s="1"/>
    </row>
    <row r="33" spans="1:20" x14ac:dyDescent="0.3">
      <c r="A33">
        <f>MATCH(C33,$A$3:$S$3,0)</f>
        <v>7</v>
      </c>
      <c r="B33" s="3">
        <f>INDEX($Z$3:$Z$16,MATCH(C33,$AE$3:$AE$16,0))</f>
        <v>5</v>
      </c>
      <c r="C33" s="1" t="str">
        <v>BNP</v>
      </c>
      <c r="D33" s="19"/>
      <c r="E33" s="1"/>
      <c r="N33" s="14"/>
      <c r="O33" s="14"/>
      <c r="P33" s="1"/>
      <c r="R33" s="2">
        <v>0</v>
      </c>
      <c r="S33" s="14"/>
      <c r="T33" s="1"/>
    </row>
    <row r="34" spans="1:20" x14ac:dyDescent="0.3">
      <c r="A34">
        <f>MATCH(C34,$A$3:$S$3,0)</f>
        <v>8</v>
      </c>
      <c r="B34" s="3">
        <f>INDEX($Z$3:$Z$16,MATCH(C34,$AE$3:$AE$16,0))</f>
        <v>6</v>
      </c>
      <c r="C34" s="1" t="str">
        <v>KTB</v>
      </c>
      <c r="D34" s="19"/>
      <c r="E34" s="1"/>
      <c r="G34" s="4" t="s">
        <v>33</v>
      </c>
      <c r="J34" s="24" t="s">
        <v>41</v>
      </c>
      <c r="K34" s="25"/>
      <c r="L34" s="26"/>
      <c r="N34" s="14"/>
      <c r="O34" s="14"/>
      <c r="P34" s="1"/>
      <c r="R34" s="2">
        <v>0</v>
      </c>
      <c r="S34" s="14"/>
      <c r="T34" s="1"/>
    </row>
    <row r="35" spans="1:20" x14ac:dyDescent="0.3">
      <c r="A35">
        <f>MATCH(C35,$A$3:$S$3,0)</f>
        <v>9</v>
      </c>
      <c r="B35" s="3">
        <f>INDEX($Z$3:$Z$16,MATCH(C35,$AE$3:$AE$16,0))</f>
        <v>7</v>
      </c>
      <c r="C35" s="1" t="str">
        <v>MUFG</v>
      </c>
      <c r="D35" s="19"/>
      <c r="E35" s="1"/>
      <c r="G35" s="5" t="s">
        <v>42</v>
      </c>
      <c r="H35" s="23" t="s">
        <v>31</v>
      </c>
      <c r="I35" s="23" t="s">
        <v>36</v>
      </c>
      <c r="J35" s="5" t="s">
        <v>6</v>
      </c>
      <c r="K35" s="5" t="s">
        <v>7</v>
      </c>
      <c r="L35" s="5" t="s">
        <v>8</v>
      </c>
      <c r="N35" s="14"/>
      <c r="O35" s="14"/>
      <c r="P35" s="1"/>
      <c r="R35" s="2">
        <v>0</v>
      </c>
      <c r="S35" s="14"/>
      <c r="T35" s="1"/>
    </row>
    <row r="36" spans="1:20" x14ac:dyDescent="0.3">
      <c r="A36">
        <f>MATCH(C36,$A$3:$S$3,0)</f>
        <v>10</v>
      </c>
      <c r="B36" s="3">
        <f>INDEX($Z$3:$Z$16,MATCH(C36,$AE$3:$AE$16,0))</f>
        <v>8</v>
      </c>
      <c r="C36" s="1" t="str">
        <v>GSB</v>
      </c>
      <c r="D36" s="19"/>
      <c r="E36" s="1"/>
      <c r="G36" s="1" t="str">
        <f>G29</f>
        <v>CB18N08B</v>
      </c>
      <c r="H36" s="20"/>
      <c r="I36" s="20"/>
      <c r="J36" s="20"/>
      <c r="K36" s="20"/>
      <c r="L36" s="20"/>
      <c r="N36" s="14"/>
      <c r="O36" s="14"/>
      <c r="P36" s="1"/>
      <c r="R36" s="2">
        <v>0</v>
      </c>
      <c r="S36" s="14"/>
      <c r="T36" s="1"/>
    </row>
    <row r="37" spans="1:20" x14ac:dyDescent="0.3">
      <c r="A37">
        <f>MATCH(C37,$A$3:$S$3,0)</f>
        <v>11</v>
      </c>
      <c r="B37" s="3">
        <f>INDEX($Z$3:$Z$16,MATCH(C37,$AE$3:$AE$16,0))</f>
        <v>9</v>
      </c>
      <c r="C37" s="1" t="str">
        <v>ICBC</v>
      </c>
      <c r="D37" s="19"/>
      <c r="E37" s="1"/>
      <c r="G37" s="1" t="str">
        <f t="shared" ref="G37:G38" si="37">G30</f>
        <v>CB19606A</v>
      </c>
      <c r="H37" s="20"/>
      <c r="I37" s="20"/>
      <c r="J37" s="20"/>
      <c r="K37" s="20"/>
      <c r="L37" s="20"/>
      <c r="N37" s="14"/>
      <c r="O37" s="14"/>
      <c r="P37" s="1"/>
      <c r="R37" s="2">
        <v>0</v>
      </c>
      <c r="S37" s="14"/>
      <c r="T37" s="1"/>
    </row>
    <row r="38" spans="1:20" ht="15" thickBot="1" x14ac:dyDescent="0.35">
      <c r="A38">
        <f>MATCH(C38,$A$3:$S$3,0)</f>
        <v>12</v>
      </c>
      <c r="B38" s="3">
        <f>INDEX($Z$3:$Z$16,MATCH(C38,$AE$3:$AE$16,0))</f>
        <v>10</v>
      </c>
      <c r="C38" s="1" t="str">
        <v>CIMB</v>
      </c>
      <c r="D38" s="19"/>
      <c r="E38" s="1"/>
      <c r="G38" s="1" t="str">
        <f t="shared" si="37"/>
        <v>CB19207A</v>
      </c>
      <c r="H38" s="20"/>
      <c r="I38" s="20"/>
      <c r="J38" s="20"/>
      <c r="K38" s="20"/>
      <c r="L38" s="20"/>
      <c r="O38" s="7"/>
      <c r="P38" s="7"/>
      <c r="S38" s="7"/>
      <c r="T38" s="7"/>
    </row>
    <row r="39" spans="1:20" ht="15" thickTop="1" x14ac:dyDescent="0.3">
      <c r="A39">
        <f>MATCH(C39,$A$3:$S$3,0)</f>
        <v>13</v>
      </c>
      <c r="B39" s="3">
        <f>INDEX($Z$3:$Z$16,MATCH(C39,$AE$3:$AE$16,0))</f>
        <v>11</v>
      </c>
      <c r="C39" s="1" t="str">
        <v>SC</v>
      </c>
      <c r="D39" s="19"/>
      <c r="E39" s="1"/>
    </row>
    <row r="40" spans="1:20" x14ac:dyDescent="0.3">
      <c r="A40">
        <f>MATCH(C40,$A$3:$S$3,0)</f>
        <v>14</v>
      </c>
      <c r="B40" s="3">
        <f>INDEX($Z$3:$Z$16,MATCH(C40,$AE$3:$AE$16,0))</f>
        <v>12</v>
      </c>
      <c r="C40" s="1" t="str">
        <v>CITI</v>
      </c>
      <c r="D40" s="19"/>
      <c r="E40" s="1"/>
      <c r="G40" s="4"/>
      <c r="N40" s="4" t="str">
        <f>"Auction Excute : " &amp;G30</f>
        <v>Auction Excute : CB19606A</v>
      </c>
      <c r="R40" s="4" t="s">
        <v>33</v>
      </c>
    </row>
    <row r="41" spans="1:20" x14ac:dyDescent="0.3">
      <c r="A41">
        <f>MATCH(C41,$A$3:$S$3,0)</f>
        <v>15</v>
      </c>
      <c r="B41" s="3">
        <f>INDEX($Z$3:$Z$16,MATCH(C41,$AE$3:$AE$16,0))</f>
        <v>13</v>
      </c>
      <c r="C41" s="1" t="str">
        <v>HSBC</v>
      </c>
      <c r="D41" s="19"/>
      <c r="E41" s="1"/>
      <c r="N41" s="5" t="s">
        <v>0</v>
      </c>
      <c r="O41" s="5" t="s">
        <v>4</v>
      </c>
      <c r="P41" s="5" t="s">
        <v>41</v>
      </c>
      <c r="R41" s="5" t="s">
        <v>0</v>
      </c>
      <c r="S41" s="5" t="s">
        <v>4</v>
      </c>
      <c r="T41" s="5" t="s">
        <v>41</v>
      </c>
    </row>
    <row r="42" spans="1:20" x14ac:dyDescent="0.3">
      <c r="A42">
        <f>MATCH(C42,$A$3:$S$3,0)</f>
        <v>16</v>
      </c>
      <c r="B42" s="3">
        <f>INDEX($Z$3:$Z$16,MATCH(C42,$AE$3:$AE$16,0))</f>
        <v>14</v>
      </c>
      <c r="C42" s="1" t="str">
        <v>UOB</v>
      </c>
      <c r="D42" s="19"/>
      <c r="E42" s="1"/>
      <c r="N42" s="3"/>
      <c r="O42" s="3"/>
      <c r="P42" s="3"/>
      <c r="R42" s="2">
        <f t="array" ref="R42:R50">N42:N50</f>
        <v>0</v>
      </c>
      <c r="S42" s="3"/>
      <c r="T42" s="3"/>
    </row>
    <row r="43" spans="1:20" x14ac:dyDescent="0.3">
      <c r="N43" s="1"/>
      <c r="O43" s="1"/>
      <c r="P43" s="1"/>
      <c r="R43" s="2">
        <v>0</v>
      </c>
      <c r="S43" s="1"/>
      <c r="T43" s="1"/>
    </row>
    <row r="44" spans="1:20" x14ac:dyDescent="0.3">
      <c r="N44" s="1"/>
      <c r="O44" s="1"/>
      <c r="P44" s="1"/>
      <c r="R44" s="2">
        <v>0</v>
      </c>
      <c r="S44" s="1"/>
      <c r="T44" s="1"/>
    </row>
    <row r="45" spans="1:20" x14ac:dyDescent="0.3">
      <c r="A45" t="str">
        <f>get_sheet_name()</f>
        <v>25Sep18</v>
      </c>
      <c r="B45" s="4" t="s">
        <v>9</v>
      </c>
      <c r="C45" t="s">
        <v>10</v>
      </c>
      <c r="N45" s="1"/>
      <c r="O45" s="1"/>
      <c r="P45" s="1"/>
      <c r="R45" s="2">
        <v>0</v>
      </c>
      <c r="S45" s="1"/>
      <c r="T45" s="1"/>
    </row>
    <row r="46" spans="1:20" x14ac:dyDescent="0.3">
      <c r="C46" t="s">
        <v>11</v>
      </c>
      <c r="N46" s="1"/>
      <c r="O46" s="1"/>
      <c r="P46" s="1"/>
      <c r="R46" s="2">
        <v>0</v>
      </c>
      <c r="S46" s="1"/>
      <c r="T46" s="1"/>
    </row>
    <row r="47" spans="1:20" x14ac:dyDescent="0.3">
      <c r="D47" t="s">
        <v>12</v>
      </c>
      <c r="N47" s="1"/>
      <c r="O47" s="1"/>
      <c r="P47" s="1"/>
      <c r="R47" s="2">
        <v>0</v>
      </c>
      <c r="S47" s="1"/>
      <c r="T47" s="1"/>
    </row>
    <row r="48" spans="1:20" x14ac:dyDescent="0.3">
      <c r="D48" t="s">
        <v>13</v>
      </c>
      <c r="N48" s="1"/>
      <c r="O48" s="1"/>
      <c r="P48" s="1"/>
      <c r="R48" s="2">
        <v>0</v>
      </c>
      <c r="S48" s="1"/>
      <c r="T48" s="1"/>
    </row>
    <row r="49" spans="3:20" x14ac:dyDescent="0.3">
      <c r="D49" t="s">
        <v>14</v>
      </c>
      <c r="N49" s="1"/>
      <c r="O49" s="1"/>
      <c r="P49" s="1"/>
      <c r="R49" s="2">
        <v>0</v>
      </c>
      <c r="S49" s="1"/>
      <c r="T49" s="1"/>
    </row>
    <row r="50" spans="3:20" x14ac:dyDescent="0.3">
      <c r="C50" t="s">
        <v>15</v>
      </c>
      <c r="N50" s="1"/>
      <c r="O50" s="1"/>
      <c r="P50" s="1"/>
      <c r="R50" s="2">
        <v>0</v>
      </c>
      <c r="S50" s="1"/>
      <c r="T50" s="1"/>
    </row>
    <row r="51" spans="3:20" ht="15" thickBot="1" x14ac:dyDescent="0.35">
      <c r="O51" s="7"/>
      <c r="P51" s="7"/>
      <c r="S51" s="7"/>
      <c r="T51" s="7"/>
    </row>
    <row r="52" spans="3:20" ht="15" thickTop="1" x14ac:dyDescent="0.3"/>
  </sheetData>
  <mergeCells count="4">
    <mergeCell ref="J34:L34"/>
    <mergeCell ref="B2:V2"/>
    <mergeCell ref="B9:V9"/>
    <mergeCell ref="B18:V18"/>
  </mergeCells>
  <conditionalFormatting sqref="C7:S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:S1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S2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Z21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Y3:Y16">
    <cfRule type="cellIs" dxfId="64" priority="7" operator="equal">
      <formula>1</formula>
    </cfRule>
  </conditionalFormatting>
  <conditionalFormatting sqref="AH10">
    <cfRule type="cellIs" dxfId="63" priority="5" operator="greaterThan">
      <formula>0.4</formula>
    </cfRule>
    <cfRule type="cellIs" dxfId="62" priority="6" operator="lessThan">
      <formula>0.5</formula>
    </cfRule>
  </conditionalFormatting>
  <conditionalFormatting sqref="AH16">
    <cfRule type="cellIs" dxfId="61" priority="3" operator="greaterThan">
      <formula>0.4</formula>
    </cfRule>
    <cfRule type="cellIs" dxfId="60" priority="4" operator="lessThan">
      <formula>0.5</formula>
    </cfRule>
  </conditionalFormatting>
  <conditionalFormatting sqref="AH5">
    <cfRule type="cellIs" dxfId="59" priority="1" operator="greaterThan">
      <formula>0.9</formula>
    </cfRule>
    <cfRule type="cellIs" dxfId="58" priority="2" operator="lessThan">
      <formula>0.9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60FD38A3-2561-481C-BDAB-836B2DD1A07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AD3:AD16</xm:sqref>
        </x14:conditionalFormatting>
        <x14:conditionalFormatting xmlns:xm="http://schemas.microsoft.com/office/excel/2006/main">
          <x14:cfRule type="iconSet" priority="9" id="{5F847777-C564-4492-9119-49D885FF7E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AA3:AC16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D640E-C0D2-4433-9AFC-C662BB24C001}">
  <sheetPr codeName="Sheet2"/>
  <dimension ref="A1:AJ52"/>
  <sheetViews>
    <sheetView tabSelected="1" topLeftCell="B1" workbookViewId="0">
      <selection activeCell="F35" sqref="F35"/>
    </sheetView>
  </sheetViews>
  <sheetFormatPr defaultRowHeight="14.4" outlineLevelRow="1" x14ac:dyDescent="0.3"/>
  <cols>
    <col min="1" max="1" width="8.88671875" hidden="1" customWidth="1"/>
    <col min="2" max="2" width="9.5546875" customWidth="1"/>
    <col min="3" max="3" width="9.88671875" customWidth="1"/>
    <col min="4" max="4" width="13.109375" customWidth="1"/>
    <col min="5" max="5" width="12" customWidth="1"/>
    <col min="7" max="7" width="9.77734375" customWidth="1"/>
    <col min="8" max="8" width="10.77734375" customWidth="1"/>
    <col min="20" max="20" width="10.109375" customWidth="1"/>
    <col min="24" max="24" width="4.44140625" customWidth="1"/>
    <col min="26" max="26" width="9.44140625" bestFit="1" customWidth="1"/>
    <col min="32" max="32" width="13.44140625" customWidth="1"/>
    <col min="33" max="33" width="15.109375" customWidth="1"/>
    <col min="34" max="34" width="9.6640625" customWidth="1"/>
  </cols>
  <sheetData>
    <row r="1" spans="2:36" x14ac:dyDescent="0.3">
      <c r="B1" s="4" t="s">
        <v>32</v>
      </c>
      <c r="Y1" s="4" t="s">
        <v>54</v>
      </c>
    </row>
    <row r="2" spans="2:36" ht="16.2" customHeight="1" x14ac:dyDescent="0.3">
      <c r="B2" s="22" t="str">
        <f>"Indicative yield : " &amp;G29</f>
        <v>Indicative yield : CB18N08B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Y2" s="5" t="s">
        <v>5</v>
      </c>
      <c r="Z2" s="5" t="s">
        <v>30</v>
      </c>
      <c r="AA2" s="5" t="s">
        <v>38</v>
      </c>
      <c r="AB2" s="5" t="s">
        <v>39</v>
      </c>
      <c r="AC2" s="5" t="s">
        <v>40</v>
      </c>
      <c r="AD2" s="5" t="s">
        <v>46</v>
      </c>
      <c r="AE2" s="5" t="s">
        <v>0</v>
      </c>
      <c r="AF2" s="5" t="s">
        <v>35</v>
      </c>
      <c r="AG2" s="5" t="s">
        <v>34</v>
      </c>
      <c r="AH2" s="5" t="s">
        <v>56</v>
      </c>
    </row>
    <row r="3" spans="2:36" x14ac:dyDescent="0.3">
      <c r="B3" s="5" t="s">
        <v>0</v>
      </c>
      <c r="C3" s="5" t="str">
        <f t="array" ref="C3:S3">TRANSPOSE($AE$3:$AE$16)</f>
        <v>SCB</v>
      </c>
      <c r="D3" s="5" t="str">
        <v>TMB</v>
      </c>
      <c r="E3" s="5" t="str">
        <v>BBL</v>
      </c>
      <c r="F3" s="5" t="str">
        <v>KBANK</v>
      </c>
      <c r="G3" s="5" t="str">
        <v>BNP</v>
      </c>
      <c r="H3" s="5" t="str">
        <v>KTB</v>
      </c>
      <c r="I3" s="5" t="str">
        <v>MUFG</v>
      </c>
      <c r="J3" s="5" t="str">
        <v>GSB</v>
      </c>
      <c r="K3" s="5" t="str">
        <v>ICBC</v>
      </c>
      <c r="L3" s="5" t="str">
        <v>CIMB</v>
      </c>
      <c r="M3" s="5" t="str">
        <v>SC</v>
      </c>
      <c r="N3" s="5" t="str">
        <v>CITI</v>
      </c>
      <c r="O3" s="5" t="str">
        <v>HSBC</v>
      </c>
      <c r="P3" s="5" t="str">
        <v>UOB</v>
      </c>
      <c r="Q3" s="5" t="e">
        <v>#N/A</v>
      </c>
      <c r="R3" s="5" t="e">
        <v>#N/A</v>
      </c>
      <c r="S3" s="5" t="e">
        <v>#N/A</v>
      </c>
      <c r="T3" s="16" t="s">
        <v>6</v>
      </c>
      <c r="U3" s="16" t="s">
        <v>7</v>
      </c>
      <c r="V3" s="16" t="s">
        <v>8</v>
      </c>
      <c r="Y3" s="3">
        <v>1</v>
      </c>
      <c r="Z3" s="6">
        <v>1</v>
      </c>
      <c r="AA3" s="6">
        <v>1</v>
      </c>
      <c r="AB3" s="6">
        <v>1</v>
      </c>
      <c r="AC3" s="6">
        <v>0</v>
      </c>
      <c r="AD3" s="6">
        <f ca="1">IF(SUM(OFFSET(INDIRECT(ADDRESS(3,$A29)),1,0,3)) &gt; 0,1,0)</f>
        <v>1</v>
      </c>
      <c r="AE3" s="43" t="s">
        <v>16</v>
      </c>
      <c r="AF3" s="3">
        <f>SUMIF($R$29:$R$51,AE3,$S$29:$S$51)</f>
        <v>0</v>
      </c>
      <c r="AG3" s="10">
        <f ca="1">INDIRECT("'"&amp;$A$45&amp;"'!"&amp;ADDRESS(A29,33))+AF3</f>
        <v>5000</v>
      </c>
      <c r="AH3" s="40"/>
      <c r="AJ3" s="4"/>
    </row>
    <row r="4" spans="2:36" x14ac:dyDescent="0.3">
      <c r="B4" s="5" t="s">
        <v>1</v>
      </c>
      <c r="C4" s="8">
        <v>2.2000000000000002</v>
      </c>
      <c r="D4" s="8">
        <v>2.1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21">
        <f>MIN(C4:S4)</f>
        <v>2.1</v>
      </c>
      <c r="U4" s="21">
        <f>MAX(C4:S4)</f>
        <v>2.2000000000000002</v>
      </c>
      <c r="V4" s="21">
        <f>AVERAGE(C4:S4)</f>
        <v>2.1500000000000004</v>
      </c>
      <c r="Y4" s="3">
        <v>1</v>
      </c>
      <c r="Z4" s="6">
        <v>2</v>
      </c>
      <c r="AA4" s="6">
        <v>1</v>
      </c>
      <c r="AB4" s="6">
        <v>1</v>
      </c>
      <c r="AC4" s="6">
        <v>0</v>
      </c>
      <c r="AD4" s="6">
        <f ca="1">IF(SUM(OFFSET(INDIRECT(ADDRESS(3,$A30)),1,0,3)) &gt; 0,1,0)</f>
        <v>1</v>
      </c>
      <c r="AE4" s="43" t="s">
        <v>17</v>
      </c>
      <c r="AF4" s="3">
        <f t="shared" ref="AF4:AF16" si="0">SUMIF($R$29:$R$51,AE4,$S$29:$S$51)</f>
        <v>0</v>
      </c>
      <c r="AG4" s="10">
        <f t="shared" ref="AG4:AG16" ca="1" si="1">INDIRECT("'"&amp;$A$45&amp;"'!"&amp;ADDRESS(A30,33))+AF4</f>
        <v>0</v>
      </c>
      <c r="AH4" s="41"/>
    </row>
    <row r="5" spans="2:36" x14ac:dyDescent="0.3">
      <c r="B5" s="5" t="s">
        <v>2</v>
      </c>
      <c r="C5" s="8">
        <v>2.5</v>
      </c>
      <c r="D5" s="8"/>
      <c r="E5" s="8"/>
      <c r="F5" s="8">
        <v>2</v>
      </c>
      <c r="G5" s="8"/>
      <c r="H5" s="8"/>
      <c r="I5" s="8"/>
      <c r="J5" s="8"/>
      <c r="K5" s="8"/>
      <c r="L5" s="8">
        <v>1.5</v>
      </c>
      <c r="M5" s="8"/>
      <c r="N5" s="8"/>
      <c r="O5" s="8"/>
      <c r="P5" s="8"/>
      <c r="Q5" s="8"/>
      <c r="R5" s="8"/>
      <c r="S5" s="8"/>
      <c r="T5" s="21">
        <f>MIN(C5:S5)</f>
        <v>1.5</v>
      </c>
      <c r="U5" s="21">
        <f>MAX(C5:S5)</f>
        <v>2.5</v>
      </c>
      <c r="V5" s="21">
        <f>AVERAGE(C5:S5)</f>
        <v>2</v>
      </c>
      <c r="Y5" s="3">
        <v>1</v>
      </c>
      <c r="Z5" s="6">
        <v>3</v>
      </c>
      <c r="AA5" s="6">
        <v>1</v>
      </c>
      <c r="AB5" s="6">
        <v>1</v>
      </c>
      <c r="AC5" s="6">
        <v>1</v>
      </c>
      <c r="AD5" s="6">
        <f ca="1">IF(SUM(OFFSET(INDIRECT(ADDRESS(3,$A31)),1,0,3)) &gt; 0,1,0)</f>
        <v>0</v>
      </c>
      <c r="AE5" s="43" t="s">
        <v>18</v>
      </c>
      <c r="AF5" s="3">
        <f t="shared" si="0"/>
        <v>0</v>
      </c>
      <c r="AG5" s="27">
        <f t="shared" ca="1" si="1"/>
        <v>0</v>
      </c>
      <c r="AH5" s="42">
        <f ca="1">SUMIF($Y$3:$Y$16,$Y$3,$AG$3:$AG$16)/$AF$17</f>
        <v>1</v>
      </c>
    </row>
    <row r="6" spans="2:36" x14ac:dyDescent="0.3">
      <c r="B6" s="5" t="s">
        <v>3</v>
      </c>
      <c r="C6" s="18">
        <v>2.12</v>
      </c>
      <c r="D6" s="18"/>
      <c r="E6" s="18"/>
      <c r="F6" s="18"/>
      <c r="G6" s="18"/>
      <c r="H6" s="18"/>
      <c r="I6" s="18">
        <v>3</v>
      </c>
      <c r="J6" s="18">
        <v>2.2999999999999998</v>
      </c>
      <c r="K6" s="18"/>
      <c r="L6" s="18"/>
      <c r="M6" s="18"/>
      <c r="N6" s="18"/>
      <c r="O6" s="18"/>
      <c r="P6" s="18"/>
      <c r="Q6" s="18"/>
      <c r="R6" s="18"/>
      <c r="S6" s="18"/>
      <c r="T6" s="21">
        <f>MIN(C6:S6)</f>
        <v>2.12</v>
      </c>
      <c r="U6" s="21">
        <f>MAX(C6:S6)</f>
        <v>3</v>
      </c>
      <c r="V6" s="21">
        <f>AVERAGE(C6:S6)</f>
        <v>2.4733333333333332</v>
      </c>
      <c r="Y6" s="32">
        <v>2</v>
      </c>
      <c r="Z6" s="33">
        <v>4</v>
      </c>
      <c r="AA6" s="33">
        <v>1</v>
      </c>
      <c r="AB6" s="33">
        <v>1</v>
      </c>
      <c r="AC6" s="33">
        <v>1</v>
      </c>
      <c r="AD6" s="33">
        <f ca="1">IF(SUM(OFFSET(INDIRECT(ADDRESS(3,$A32)),1,0,3)) &gt; 0,1,0)</f>
        <v>1</v>
      </c>
      <c r="AE6" s="43" t="s">
        <v>19</v>
      </c>
      <c r="AF6" s="3">
        <f t="shared" si="0"/>
        <v>0</v>
      </c>
      <c r="AG6" s="10">
        <f t="shared" ca="1" si="1"/>
        <v>0</v>
      </c>
      <c r="AH6" s="41"/>
    </row>
    <row r="7" spans="2:36" x14ac:dyDescent="0.3">
      <c r="B7" s="9" t="s">
        <v>8</v>
      </c>
      <c r="C7" s="1">
        <f>IFERROR(AVERAGE(C4:C6),"")</f>
        <v>2.2733333333333334</v>
      </c>
      <c r="D7" s="1">
        <f t="shared" ref="D7:S7" si="2">IFERROR(AVERAGE(D4:D6),"")</f>
        <v>2.1</v>
      </c>
      <c r="E7" s="1" t="str">
        <f t="shared" si="2"/>
        <v/>
      </c>
      <c r="F7" s="1">
        <f t="shared" si="2"/>
        <v>2</v>
      </c>
      <c r="G7" s="1" t="str">
        <f t="shared" si="2"/>
        <v/>
      </c>
      <c r="H7" s="1" t="str">
        <f t="shared" si="2"/>
        <v/>
      </c>
      <c r="I7" s="1">
        <f t="shared" si="2"/>
        <v>3</v>
      </c>
      <c r="J7" s="1">
        <f t="shared" si="2"/>
        <v>2.2999999999999998</v>
      </c>
      <c r="K7" s="1" t="str">
        <f t="shared" si="2"/>
        <v/>
      </c>
      <c r="L7" s="1">
        <f t="shared" si="2"/>
        <v>1.5</v>
      </c>
      <c r="M7" s="1" t="str">
        <f t="shared" si="2"/>
        <v/>
      </c>
      <c r="N7" s="1" t="str">
        <f t="shared" si="2"/>
        <v/>
      </c>
      <c r="O7" s="1" t="str">
        <f t="shared" si="2"/>
        <v/>
      </c>
      <c r="P7" s="1" t="str">
        <f t="shared" si="2"/>
        <v/>
      </c>
      <c r="Q7" s="1" t="str">
        <f t="shared" si="2"/>
        <v/>
      </c>
      <c r="R7" s="1" t="str">
        <f t="shared" si="2"/>
        <v/>
      </c>
      <c r="S7" s="1" t="str">
        <f t="shared" si="2"/>
        <v/>
      </c>
      <c r="T7" s="17">
        <f>MAX(T4:T6)</f>
        <v>2.12</v>
      </c>
      <c r="U7" s="17">
        <f>MAX(U4:U6)</f>
        <v>3</v>
      </c>
      <c r="V7" s="17">
        <f>MAX(V4:V6)</f>
        <v>2.4733333333333332</v>
      </c>
      <c r="Y7" s="3">
        <v>2</v>
      </c>
      <c r="Z7" s="6">
        <v>5</v>
      </c>
      <c r="AA7" s="6">
        <v>1</v>
      </c>
      <c r="AB7" s="6">
        <v>1</v>
      </c>
      <c r="AC7" s="6">
        <v>0</v>
      </c>
      <c r="AD7" s="6">
        <f ca="1">IF(SUM(OFFSET(INDIRECT(ADDRESS(3,$A33)),1,0,3)) &gt; 0,1,0)</f>
        <v>0</v>
      </c>
      <c r="AE7" s="43" t="s">
        <v>20</v>
      </c>
      <c r="AF7" s="3">
        <f t="shared" si="0"/>
        <v>0</v>
      </c>
      <c r="AG7" s="10">
        <f t="shared" ca="1" si="1"/>
        <v>0</v>
      </c>
      <c r="AH7" s="41"/>
    </row>
    <row r="8" spans="2:36" x14ac:dyDescent="0.3">
      <c r="Y8" s="3">
        <v>2</v>
      </c>
      <c r="Z8" s="6">
        <v>6</v>
      </c>
      <c r="AA8" s="6">
        <v>1</v>
      </c>
      <c r="AB8" s="6">
        <v>1</v>
      </c>
      <c r="AC8" s="6">
        <v>0</v>
      </c>
      <c r="AD8" s="6">
        <f ca="1">IF(SUM(OFFSET(INDIRECT(ADDRESS(3,$A34)),1,0,3)) &gt; 0,1,0)</f>
        <v>0</v>
      </c>
      <c r="AE8" s="43" t="s">
        <v>21</v>
      </c>
      <c r="AF8" s="3">
        <f t="shared" si="0"/>
        <v>0</v>
      </c>
      <c r="AG8" s="10">
        <f t="shared" ca="1" si="1"/>
        <v>0</v>
      </c>
      <c r="AH8" s="41"/>
    </row>
    <row r="9" spans="2:36" x14ac:dyDescent="0.3">
      <c r="B9" s="22" t="str">
        <f>"Indicative yield : " &amp;G30</f>
        <v>Indicative yield : CB19606A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Y9" s="3">
        <v>2</v>
      </c>
      <c r="Z9" s="6">
        <v>7</v>
      </c>
      <c r="AA9" s="6">
        <v>1</v>
      </c>
      <c r="AB9" s="6">
        <v>1</v>
      </c>
      <c r="AC9" s="6">
        <v>0</v>
      </c>
      <c r="AD9" s="6">
        <f ca="1">IF(SUM(OFFSET(INDIRECT(ADDRESS(3,$A35)),1,0,3)) &gt; 0,1,0)</f>
        <v>1</v>
      </c>
      <c r="AE9" s="43" t="s">
        <v>22</v>
      </c>
      <c r="AF9" s="3">
        <f t="shared" si="0"/>
        <v>0</v>
      </c>
      <c r="AG9" s="10">
        <f t="shared" ca="1" si="1"/>
        <v>0</v>
      </c>
      <c r="AH9" s="41"/>
    </row>
    <row r="10" spans="2:36" x14ac:dyDescent="0.3">
      <c r="B10" s="5" t="s">
        <v>0</v>
      </c>
      <c r="C10" s="5" t="str">
        <f t="array" ref="C10:S10">TRANSPOSE($AE$3:$AE$16)</f>
        <v>SCB</v>
      </c>
      <c r="D10" s="5" t="str">
        <v>TMB</v>
      </c>
      <c r="E10" s="5" t="str">
        <v>BBL</v>
      </c>
      <c r="F10" s="5" t="str">
        <v>KBANK</v>
      </c>
      <c r="G10" s="5" t="str">
        <v>BNP</v>
      </c>
      <c r="H10" s="5" t="str">
        <v>KTB</v>
      </c>
      <c r="I10" s="5" t="str">
        <v>MUFG</v>
      </c>
      <c r="J10" s="5" t="str">
        <v>GSB</v>
      </c>
      <c r="K10" s="5" t="str">
        <v>ICBC</v>
      </c>
      <c r="L10" s="5" t="str">
        <v>CIMB</v>
      </c>
      <c r="M10" s="5" t="str">
        <v>SC</v>
      </c>
      <c r="N10" s="5" t="str">
        <v>CITI</v>
      </c>
      <c r="O10" s="5" t="str">
        <v>HSBC</v>
      </c>
      <c r="P10" s="5" t="str">
        <v>UOB</v>
      </c>
      <c r="Q10" s="5" t="e">
        <v>#N/A</v>
      </c>
      <c r="R10" s="5" t="e">
        <v>#N/A</v>
      </c>
      <c r="S10" s="5" t="e">
        <v>#N/A</v>
      </c>
      <c r="T10" s="16" t="s">
        <v>6</v>
      </c>
      <c r="U10" s="16" t="s">
        <v>7</v>
      </c>
      <c r="V10" s="16" t="s">
        <v>8</v>
      </c>
      <c r="Y10" s="32">
        <v>2</v>
      </c>
      <c r="Z10" s="33">
        <v>8</v>
      </c>
      <c r="AA10" s="33">
        <v>1</v>
      </c>
      <c r="AB10" s="33">
        <v>1</v>
      </c>
      <c r="AC10" s="33">
        <v>0</v>
      </c>
      <c r="AD10" s="33">
        <f ca="1">IF(SUM(OFFSET(INDIRECT(ADDRESS(3,$A36)),1,0,3)) &gt; 0,1,0)</f>
        <v>1</v>
      </c>
      <c r="AE10" s="43" t="s">
        <v>23</v>
      </c>
      <c r="AF10" s="3">
        <f t="shared" si="0"/>
        <v>0</v>
      </c>
      <c r="AG10" s="34">
        <f t="shared" ca="1" si="1"/>
        <v>0</v>
      </c>
      <c r="AH10" s="42">
        <f ca="1">SUMIF($Y$3:$Y$16,$Y$6,$AG$3:$AG$16)/$AF$17</f>
        <v>0</v>
      </c>
    </row>
    <row r="11" spans="2:36" x14ac:dyDescent="0.3">
      <c r="B11" s="5" t="s">
        <v>1</v>
      </c>
      <c r="C11" s="8">
        <v>2.2000000000000002</v>
      </c>
      <c r="D11" s="8">
        <v>2.1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21">
        <f>MIN(C11:S11)</f>
        <v>2.1</v>
      </c>
      <c r="U11" s="21">
        <f>MAX(C11:S11)</f>
        <v>2.2000000000000002</v>
      </c>
      <c r="V11" s="21">
        <f>AVERAGE(C11:S11)</f>
        <v>2.1500000000000004</v>
      </c>
      <c r="Y11" s="3">
        <v>3</v>
      </c>
      <c r="Z11" s="6">
        <v>9</v>
      </c>
      <c r="AA11" s="6">
        <v>1</v>
      </c>
      <c r="AB11" s="6">
        <v>1</v>
      </c>
      <c r="AC11" s="6">
        <v>0</v>
      </c>
      <c r="AD11" s="6">
        <f ca="1">IF(SUM(OFFSET(INDIRECT(ADDRESS(3,$A37)),1,0,3)) &gt; 0,1,0)</f>
        <v>0</v>
      </c>
      <c r="AE11" s="43" t="s">
        <v>24</v>
      </c>
      <c r="AF11" s="3">
        <f t="shared" si="0"/>
        <v>0</v>
      </c>
      <c r="AG11" s="10">
        <f t="shared" ca="1" si="1"/>
        <v>0</v>
      </c>
      <c r="AH11" s="41"/>
    </row>
    <row r="12" spans="2:36" x14ac:dyDescent="0.3">
      <c r="B12" s="5" t="s">
        <v>2</v>
      </c>
      <c r="C12" s="8">
        <v>2.5</v>
      </c>
      <c r="D12" s="8"/>
      <c r="E12" s="8"/>
      <c r="F12" s="8">
        <v>2</v>
      </c>
      <c r="G12" s="8"/>
      <c r="H12" s="8"/>
      <c r="I12" s="8"/>
      <c r="J12" s="8"/>
      <c r="K12" s="8"/>
      <c r="L12" s="8">
        <v>1.5</v>
      </c>
      <c r="M12" s="8"/>
      <c r="N12" s="8"/>
      <c r="O12" s="8"/>
      <c r="P12" s="8"/>
      <c r="Q12" s="8"/>
      <c r="R12" s="8"/>
      <c r="S12" s="8"/>
      <c r="T12" s="21">
        <f>MIN(C12:S12)</f>
        <v>1.5</v>
      </c>
      <c r="U12" s="21">
        <f>MAX(C12:S12)</f>
        <v>2.5</v>
      </c>
      <c r="V12" s="21">
        <f>AVERAGE(C12:S12)</f>
        <v>2</v>
      </c>
      <c r="Y12" s="3">
        <v>3</v>
      </c>
      <c r="Z12" s="6">
        <v>10</v>
      </c>
      <c r="AA12" s="6">
        <v>1</v>
      </c>
      <c r="AB12" s="6">
        <v>1</v>
      </c>
      <c r="AC12" s="6">
        <v>0</v>
      </c>
      <c r="AD12" s="6">
        <f ca="1">IF(SUM(OFFSET(INDIRECT(ADDRESS(3,$A38)),1,0,3)) &gt; 0,1,0)</f>
        <v>1</v>
      </c>
      <c r="AE12" s="43" t="s">
        <v>25</v>
      </c>
      <c r="AF12" s="3">
        <f t="shared" si="0"/>
        <v>0</v>
      </c>
      <c r="AG12" s="10">
        <f t="shared" ca="1" si="1"/>
        <v>0</v>
      </c>
      <c r="AH12" s="41"/>
    </row>
    <row r="13" spans="2:36" x14ac:dyDescent="0.3">
      <c r="B13" s="5" t="s">
        <v>3</v>
      </c>
      <c r="C13" s="18">
        <v>2.12</v>
      </c>
      <c r="D13" s="18"/>
      <c r="E13" s="18"/>
      <c r="F13" s="18"/>
      <c r="G13" s="18"/>
      <c r="H13" s="18"/>
      <c r="I13" s="18">
        <v>3</v>
      </c>
      <c r="J13" s="18">
        <v>2.2999999999999998</v>
      </c>
      <c r="K13" s="18"/>
      <c r="L13" s="18"/>
      <c r="M13" s="18"/>
      <c r="N13" s="18"/>
      <c r="O13" s="18"/>
      <c r="P13" s="18"/>
      <c r="Q13" s="18"/>
      <c r="R13" s="18"/>
      <c r="S13" s="18"/>
      <c r="T13" s="21">
        <f>MIN(C13:S13)</f>
        <v>2.12</v>
      </c>
      <c r="U13" s="21">
        <f>MAX(C13:S13)</f>
        <v>3</v>
      </c>
      <c r="V13" s="21">
        <f>AVERAGE(C13:S13)</f>
        <v>2.4733333333333332</v>
      </c>
      <c r="Y13" s="32">
        <v>3</v>
      </c>
      <c r="Z13" s="33">
        <v>11</v>
      </c>
      <c r="AA13" s="33">
        <v>1</v>
      </c>
      <c r="AB13" s="33">
        <v>1</v>
      </c>
      <c r="AC13" s="33">
        <v>0</v>
      </c>
      <c r="AD13" s="33">
        <f ca="1">IF(SUM(OFFSET(INDIRECT(ADDRESS(3,$A39)),1,0,3)) &gt; 0,1,0)</f>
        <v>0</v>
      </c>
      <c r="AE13" s="43" t="s">
        <v>26</v>
      </c>
      <c r="AF13" s="3">
        <f t="shared" si="0"/>
        <v>0</v>
      </c>
      <c r="AG13" s="10">
        <f t="shared" ca="1" si="1"/>
        <v>0</v>
      </c>
      <c r="AH13" s="41"/>
    </row>
    <row r="14" spans="2:36" x14ac:dyDescent="0.3">
      <c r="B14" s="9" t="s">
        <v>8</v>
      </c>
      <c r="C14" s="1">
        <f>IFERROR(AVERAGE(C11:C13),"")</f>
        <v>2.2733333333333334</v>
      </c>
      <c r="D14" s="1">
        <f t="shared" ref="D14:S14" si="3">IFERROR(AVERAGE(D11:D13),"")</f>
        <v>2.1</v>
      </c>
      <c r="E14" s="1" t="str">
        <f t="shared" si="3"/>
        <v/>
      </c>
      <c r="F14" s="1">
        <f t="shared" si="3"/>
        <v>2</v>
      </c>
      <c r="G14" s="1" t="str">
        <f t="shared" si="3"/>
        <v/>
      </c>
      <c r="H14" s="1" t="str">
        <f t="shared" si="3"/>
        <v/>
      </c>
      <c r="I14" s="1">
        <f t="shared" si="3"/>
        <v>3</v>
      </c>
      <c r="J14" s="1">
        <f t="shared" si="3"/>
        <v>2.2999999999999998</v>
      </c>
      <c r="K14" s="1" t="str">
        <f t="shared" si="3"/>
        <v/>
      </c>
      <c r="L14" s="1">
        <f t="shared" si="3"/>
        <v>1.5</v>
      </c>
      <c r="M14" s="1" t="str">
        <f t="shared" si="3"/>
        <v/>
      </c>
      <c r="N14" s="1" t="str">
        <f t="shared" si="3"/>
        <v/>
      </c>
      <c r="O14" s="1" t="str">
        <f t="shared" si="3"/>
        <v/>
      </c>
      <c r="P14" s="1" t="str">
        <f t="shared" si="3"/>
        <v/>
      </c>
      <c r="Q14" s="1" t="str">
        <f t="shared" si="3"/>
        <v/>
      </c>
      <c r="R14" s="1" t="str">
        <f t="shared" si="3"/>
        <v/>
      </c>
      <c r="S14" s="1" t="str">
        <f t="shared" si="3"/>
        <v/>
      </c>
      <c r="T14" s="17">
        <f>MAX(T11:T13)</f>
        <v>2.12</v>
      </c>
      <c r="U14" s="17">
        <f t="shared" ref="U14:V14" si="4">MAX(U11:U13)</f>
        <v>3</v>
      </c>
      <c r="V14" s="17">
        <f t="shared" si="4"/>
        <v>2.4733333333333332</v>
      </c>
      <c r="Y14" s="3">
        <v>3</v>
      </c>
      <c r="Z14" s="6">
        <v>12</v>
      </c>
      <c r="AA14" s="6">
        <v>1</v>
      </c>
      <c r="AB14" s="6">
        <v>1</v>
      </c>
      <c r="AC14" s="6">
        <v>0</v>
      </c>
      <c r="AD14" s="6">
        <f ca="1">IF(SUM(OFFSET(INDIRECT(ADDRESS(3,$A40)),1,0,3)) &gt; 0,1,0)</f>
        <v>0</v>
      </c>
      <c r="AE14" s="43" t="s">
        <v>27</v>
      </c>
      <c r="AF14" s="3">
        <f t="shared" si="0"/>
        <v>0</v>
      </c>
      <c r="AG14" s="10">
        <f t="shared" ca="1" si="1"/>
        <v>0</v>
      </c>
      <c r="AH14" s="41"/>
    </row>
    <row r="15" spans="2:36" x14ac:dyDescent="0.3">
      <c r="Y15" s="3">
        <v>3</v>
      </c>
      <c r="Z15" s="6">
        <v>13</v>
      </c>
      <c r="AA15" s="6">
        <v>1</v>
      </c>
      <c r="AB15" s="6">
        <v>1</v>
      </c>
      <c r="AC15" s="6">
        <v>0</v>
      </c>
      <c r="AD15" s="6">
        <f ca="1">IF(SUM(OFFSET(INDIRECT(ADDRESS(3,$A41)),1,0,3)) &gt; 0,1,0)</f>
        <v>0</v>
      </c>
      <c r="AE15" s="43" t="s">
        <v>28</v>
      </c>
      <c r="AF15" s="3">
        <f t="shared" si="0"/>
        <v>0</v>
      </c>
      <c r="AG15" s="10">
        <f t="shared" ca="1" si="1"/>
        <v>0</v>
      </c>
      <c r="AH15" s="41"/>
    </row>
    <row r="16" spans="2:36" x14ac:dyDescent="0.3">
      <c r="Y16" s="3">
        <v>3</v>
      </c>
      <c r="Z16" s="6">
        <v>14</v>
      </c>
      <c r="AA16" s="6">
        <v>1</v>
      </c>
      <c r="AB16" s="6">
        <v>1</v>
      </c>
      <c r="AC16" s="6">
        <v>0</v>
      </c>
      <c r="AD16" s="6">
        <f ca="1">IF(SUM(OFFSET(INDIRECT(ADDRESS(3,$A42)),1,0,3)) &gt; 0,1,0)</f>
        <v>0</v>
      </c>
      <c r="AE16" s="43" t="s">
        <v>29</v>
      </c>
      <c r="AF16" s="3">
        <f t="shared" si="0"/>
        <v>0</v>
      </c>
      <c r="AG16" s="27">
        <f t="shared" ca="1" si="1"/>
        <v>0</v>
      </c>
      <c r="AH16" s="42">
        <f ca="1">SUMIF($Y$3:$Y$16,$Y$11,$AG$3:$AG$16)/$AF$17</f>
        <v>0</v>
      </c>
    </row>
    <row r="17" spans="1:34" x14ac:dyDescent="0.3">
      <c r="AE17" s="9" t="s">
        <v>31</v>
      </c>
      <c r="AF17" s="12">
        <f ca="1">INDIRECT("'"&amp;$A$45&amp;"'!"&amp;ADDRESS(17,32))+SUM(AF3:AF16)</f>
        <v>5000</v>
      </c>
      <c r="AG17" s="13"/>
      <c r="AH17" s="11"/>
    </row>
    <row r="18" spans="1:34" hidden="1" outlineLevel="1" x14ac:dyDescent="0.3">
      <c r="B18" s="22" t="str">
        <f>"Indicative yield : " &amp;G31</f>
        <v>Indicative yield : CB19207A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34" hidden="1" outlineLevel="1" x14ac:dyDescent="0.3">
      <c r="B19" s="5" t="s">
        <v>0</v>
      </c>
      <c r="C19" s="5" t="str">
        <f t="array" ref="C19:S19">TRANSPOSE($AE$3:$AE$16)</f>
        <v>SCB</v>
      </c>
      <c r="D19" s="5" t="str">
        <v>TMB</v>
      </c>
      <c r="E19" s="5" t="str">
        <v>BBL</v>
      </c>
      <c r="F19" s="5" t="str">
        <v>KBANK</v>
      </c>
      <c r="G19" s="5" t="str">
        <v>BNP</v>
      </c>
      <c r="H19" s="5" t="str">
        <v>KTB</v>
      </c>
      <c r="I19" s="5" t="str">
        <v>MUFG</v>
      </c>
      <c r="J19" s="5" t="str">
        <v>GSB</v>
      </c>
      <c r="K19" s="5" t="str">
        <v>ICBC</v>
      </c>
      <c r="L19" s="5" t="str">
        <v>CIMB</v>
      </c>
      <c r="M19" s="5" t="str">
        <v>SC</v>
      </c>
      <c r="N19" s="5" t="str">
        <v>CITI</v>
      </c>
      <c r="O19" s="5" t="str">
        <v>HSBC</v>
      </c>
      <c r="P19" s="5" t="str">
        <v>UOB</v>
      </c>
      <c r="Q19" s="5" t="e">
        <v>#N/A</v>
      </c>
      <c r="R19" s="5" t="e">
        <v>#N/A</v>
      </c>
      <c r="S19" s="5" t="e">
        <v>#N/A</v>
      </c>
      <c r="T19" s="16" t="s">
        <v>6</v>
      </c>
      <c r="U19" s="16" t="s">
        <v>7</v>
      </c>
      <c r="V19" s="16" t="s">
        <v>8</v>
      </c>
    </row>
    <row r="20" spans="1:34" hidden="1" outlineLevel="1" x14ac:dyDescent="0.3">
      <c r="B20" s="5" t="s">
        <v>1</v>
      </c>
      <c r="C20" s="8">
        <v>2.2000000000000002</v>
      </c>
      <c r="D20" s="8">
        <v>2.1</v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21">
        <f>MIN(C20:S20)</f>
        <v>2.1</v>
      </c>
      <c r="U20" s="21">
        <f>MAX(C20:S20)</f>
        <v>2.2000000000000002</v>
      </c>
      <c r="V20" s="21">
        <f>AVERAGE(C20:S20)</f>
        <v>2.1500000000000004</v>
      </c>
    </row>
    <row r="21" spans="1:34" hidden="1" outlineLevel="1" x14ac:dyDescent="0.3">
      <c r="B21" s="5" t="s">
        <v>2</v>
      </c>
      <c r="C21" s="8">
        <v>2.5</v>
      </c>
      <c r="D21" s="8"/>
      <c r="E21" s="8"/>
      <c r="F21" s="8">
        <v>2</v>
      </c>
      <c r="G21" s="8"/>
      <c r="H21" s="8"/>
      <c r="I21" s="8"/>
      <c r="J21" s="8"/>
      <c r="K21" s="8"/>
      <c r="L21" s="8">
        <v>1.5</v>
      </c>
      <c r="M21" s="8"/>
      <c r="N21" s="8"/>
      <c r="O21" s="8"/>
      <c r="P21" s="8"/>
      <c r="Q21" s="8"/>
      <c r="R21" s="8"/>
      <c r="S21" s="8"/>
      <c r="T21" s="21">
        <f>MIN(C21:S21)</f>
        <v>1.5</v>
      </c>
      <c r="U21" s="21">
        <f>MAX(C21:S21)</f>
        <v>2.5</v>
      </c>
      <c r="V21" s="21">
        <f>AVERAGE(C21:S21)</f>
        <v>2</v>
      </c>
      <c r="Y21" s="28"/>
      <c r="Z21" s="28"/>
    </row>
    <row r="22" spans="1:34" hidden="1" outlineLevel="1" x14ac:dyDescent="0.3">
      <c r="B22" s="5" t="s">
        <v>3</v>
      </c>
      <c r="C22" s="18">
        <v>2.12</v>
      </c>
      <c r="D22" s="18"/>
      <c r="E22" s="18"/>
      <c r="F22" s="18"/>
      <c r="G22" s="18"/>
      <c r="H22" s="18"/>
      <c r="I22" s="18">
        <v>3</v>
      </c>
      <c r="J22" s="18">
        <v>2.2999999999999998</v>
      </c>
      <c r="K22" s="18"/>
      <c r="L22" s="18"/>
      <c r="M22" s="18"/>
      <c r="N22" s="18"/>
      <c r="O22" s="18"/>
      <c r="P22" s="18"/>
      <c r="Q22" s="18"/>
      <c r="R22" s="18"/>
      <c r="S22" s="18"/>
      <c r="T22" s="21">
        <f>MIN(C22:S22)</f>
        <v>2.12</v>
      </c>
      <c r="U22" s="21">
        <f>MAX(C22:S22)</f>
        <v>3</v>
      </c>
      <c r="V22" s="21">
        <f>AVERAGE(C22:S22)</f>
        <v>2.4733333333333332</v>
      </c>
    </row>
    <row r="23" spans="1:34" hidden="1" outlineLevel="1" x14ac:dyDescent="0.3">
      <c r="B23" s="9" t="s">
        <v>8</v>
      </c>
      <c r="C23" s="1">
        <f>IFERROR(AVERAGE(C20:C22),"")</f>
        <v>2.2733333333333334</v>
      </c>
      <c r="D23" s="1">
        <f t="shared" ref="D23:S23" si="5">IFERROR(AVERAGE(D20:D22),"")</f>
        <v>2.1</v>
      </c>
      <c r="E23" s="1" t="str">
        <f t="shared" si="5"/>
        <v/>
      </c>
      <c r="F23" s="1">
        <f t="shared" si="5"/>
        <v>2</v>
      </c>
      <c r="G23" s="1" t="str">
        <f t="shared" si="5"/>
        <v/>
      </c>
      <c r="H23" s="1" t="str">
        <f t="shared" si="5"/>
        <v/>
      </c>
      <c r="I23" s="1">
        <f t="shared" si="5"/>
        <v>3</v>
      </c>
      <c r="J23" s="1">
        <f t="shared" si="5"/>
        <v>2.2999999999999998</v>
      </c>
      <c r="K23" s="1" t="str">
        <f t="shared" si="5"/>
        <v/>
      </c>
      <c r="L23" s="1">
        <f t="shared" si="5"/>
        <v>1.5</v>
      </c>
      <c r="M23" s="1" t="str">
        <f t="shared" si="5"/>
        <v/>
      </c>
      <c r="N23" s="1" t="str">
        <f t="shared" si="5"/>
        <v/>
      </c>
      <c r="O23" s="1" t="str">
        <f t="shared" si="5"/>
        <v/>
      </c>
      <c r="P23" s="1" t="str">
        <f t="shared" si="5"/>
        <v/>
      </c>
      <c r="Q23" s="1" t="str">
        <f t="shared" si="5"/>
        <v/>
      </c>
      <c r="R23" s="1" t="str">
        <f t="shared" si="5"/>
        <v/>
      </c>
      <c r="S23" s="1" t="str">
        <f t="shared" si="5"/>
        <v/>
      </c>
      <c r="T23" s="17">
        <f>MAX(T20:T22)</f>
        <v>2.12</v>
      </c>
      <c r="U23" s="17">
        <f t="shared" ref="U23:V23" si="6">MAX(U20:U22)</f>
        <v>3</v>
      </c>
      <c r="V23" s="17">
        <f t="shared" si="6"/>
        <v>2.4733333333333332</v>
      </c>
    </row>
    <row r="24" spans="1:34" hidden="1" outlineLevel="1" x14ac:dyDescent="0.3"/>
    <row r="25" spans="1:34" hidden="1" outlineLevel="1" x14ac:dyDescent="0.3"/>
    <row r="26" spans="1:34" hidden="1" outlineLevel="1" x14ac:dyDescent="0.3"/>
    <row r="27" spans="1:34" ht="19.8" customHeight="1" collapsed="1" x14ac:dyDescent="0.3">
      <c r="B27" s="4" t="str">
        <f>"Auction Simulation : "</f>
        <v xml:space="preserve">Auction Simulation : </v>
      </c>
      <c r="D27" s="29" t="str">
        <f>G29</f>
        <v>CB18N08B</v>
      </c>
      <c r="G27" s="4" t="s">
        <v>37</v>
      </c>
      <c r="N27" s="4" t="str">
        <f>"Auction Excute : " &amp; G29</f>
        <v>Auction Excute : CB18N08B</v>
      </c>
      <c r="R27" s="4" t="s">
        <v>33</v>
      </c>
      <c r="Y27" s="4" t="s">
        <v>55</v>
      </c>
    </row>
    <row r="28" spans="1:34" x14ac:dyDescent="0.3">
      <c r="B28" s="5" t="s">
        <v>30</v>
      </c>
      <c r="C28" s="5" t="s">
        <v>0</v>
      </c>
      <c r="D28" s="5" t="s">
        <v>4</v>
      </c>
      <c r="E28" s="5" t="s">
        <v>41</v>
      </c>
      <c r="G28" s="9" t="s">
        <v>42</v>
      </c>
      <c r="H28" s="9" t="s">
        <v>48</v>
      </c>
      <c r="I28" s="9" t="s">
        <v>31</v>
      </c>
      <c r="J28" s="9" t="s">
        <v>38</v>
      </c>
      <c r="K28" s="9" t="s">
        <v>39</v>
      </c>
      <c r="L28" s="9" t="s">
        <v>40</v>
      </c>
      <c r="N28" s="5" t="s">
        <v>0</v>
      </c>
      <c r="O28" s="5" t="s">
        <v>4</v>
      </c>
      <c r="P28" s="5" t="s">
        <v>41</v>
      </c>
      <c r="R28" s="5" t="s">
        <v>0</v>
      </c>
      <c r="S28" s="5" t="s">
        <v>4</v>
      </c>
      <c r="T28" s="5" t="s">
        <v>41</v>
      </c>
      <c r="Y28" t="s">
        <v>50</v>
      </c>
      <c r="Z28" s="15">
        <v>1</v>
      </c>
    </row>
    <row r="29" spans="1:34" x14ac:dyDescent="0.3">
      <c r="A29">
        <f>MATCH(C29,$A$3:$S$3,0)</f>
        <v>3</v>
      </c>
      <c r="B29" s="3">
        <f>INDEX($Z$3:$Z$16,MATCH(C29,$AE$3:$AE$16,0))</f>
        <v>1</v>
      </c>
      <c r="C29" s="1" t="str">
        <f t="array" ref="C29:C42">AE3:AE16</f>
        <v>SCB</v>
      </c>
      <c r="D29" s="19"/>
      <c r="E29" s="1"/>
      <c r="G29" s="14" t="s">
        <v>43</v>
      </c>
      <c r="H29" s="14"/>
      <c r="I29" s="14"/>
      <c r="J29" s="14"/>
      <c r="K29" s="14"/>
      <c r="L29" s="14"/>
      <c r="N29" s="31" t="s">
        <v>18</v>
      </c>
      <c r="O29" s="8">
        <v>2500</v>
      </c>
      <c r="P29" s="3"/>
      <c r="R29" s="2" t="str">
        <f t="array" ref="R29:R37">N29:N37</f>
        <v>BBL</v>
      </c>
      <c r="S29" s="8"/>
      <c r="T29" s="3"/>
      <c r="Y29" t="s">
        <v>51</v>
      </c>
      <c r="Z29" s="15">
        <v>0.4</v>
      </c>
    </row>
    <row r="30" spans="1:34" x14ac:dyDescent="0.3">
      <c r="A30">
        <f>MATCH(C30,$A$3:$S$3,0)</f>
        <v>4</v>
      </c>
      <c r="B30" s="3">
        <f>INDEX($Z$3:$Z$16,MATCH(C30,$AE$3:$AE$16,0))</f>
        <v>2</v>
      </c>
      <c r="C30" s="1" t="str">
        <v>TMB</v>
      </c>
      <c r="D30" s="19"/>
      <c r="E30" s="1"/>
      <c r="G30" s="14" t="s">
        <v>44</v>
      </c>
      <c r="H30" s="14"/>
      <c r="I30" s="14"/>
      <c r="J30" s="14"/>
      <c r="K30" s="14"/>
      <c r="L30" s="14"/>
      <c r="N30" s="31" t="s">
        <v>20</v>
      </c>
      <c r="O30" s="14">
        <v>700</v>
      </c>
      <c r="P30" s="1"/>
      <c r="R30" s="2" t="str">
        <v>BNP</v>
      </c>
      <c r="S30" s="14"/>
      <c r="T30" s="1"/>
      <c r="Y30" t="s">
        <v>52</v>
      </c>
      <c r="Z30" s="15">
        <v>0.1</v>
      </c>
    </row>
    <row r="31" spans="1:34" x14ac:dyDescent="0.3">
      <c r="A31">
        <f>MATCH(C31,$A$3:$S$3,0)</f>
        <v>5</v>
      </c>
      <c r="B31" s="3">
        <f>INDEX($Z$3:$Z$16,MATCH(C31,$AE$3:$AE$16,0))</f>
        <v>3</v>
      </c>
      <c r="C31" s="1" t="str">
        <v>BBL</v>
      </c>
      <c r="D31" s="19"/>
      <c r="E31" s="1"/>
      <c r="G31" s="14" t="s">
        <v>45</v>
      </c>
      <c r="H31" s="14"/>
      <c r="I31" s="14"/>
      <c r="J31" s="14"/>
      <c r="K31" s="14"/>
      <c r="L31" s="14"/>
      <c r="N31" s="31"/>
      <c r="O31" s="14"/>
      <c r="P31" s="1"/>
      <c r="R31" s="2">
        <v>0</v>
      </c>
      <c r="S31" s="14"/>
      <c r="T31" s="1"/>
    </row>
    <row r="32" spans="1:34" x14ac:dyDescent="0.3">
      <c r="A32">
        <f>MATCH(C32,$A$3:$S$3,0)</f>
        <v>6</v>
      </c>
      <c r="B32" s="3">
        <f>INDEX($Z$3:$Z$16,MATCH(C32,$AE$3:$AE$16,0))</f>
        <v>4</v>
      </c>
      <c r="C32" s="1" t="str">
        <v>KBANK</v>
      </c>
      <c r="D32" s="19"/>
      <c r="E32" s="1"/>
      <c r="N32" s="31"/>
      <c r="O32" s="14"/>
      <c r="P32" s="1"/>
      <c r="R32" s="2">
        <v>0</v>
      </c>
      <c r="S32" s="14"/>
      <c r="T32" s="1"/>
    </row>
    <row r="33" spans="1:26" x14ac:dyDescent="0.3">
      <c r="A33">
        <f>MATCH(C33,$A$3:$S$3,0)</f>
        <v>7</v>
      </c>
      <c r="B33" s="3">
        <f>INDEX($Z$3:$Z$16,MATCH(C33,$AE$3:$AE$16,0))</f>
        <v>5</v>
      </c>
      <c r="C33" s="1" t="str">
        <v>BNP</v>
      </c>
      <c r="D33" s="19"/>
      <c r="E33" s="1"/>
      <c r="N33" s="31"/>
      <c r="O33" s="14"/>
      <c r="P33" s="1"/>
      <c r="R33" s="2">
        <v>0</v>
      </c>
      <c r="S33" s="14"/>
      <c r="T33" s="1"/>
      <c r="Z33" s="30"/>
    </row>
    <row r="34" spans="1:26" x14ac:dyDescent="0.3">
      <c r="A34">
        <f>MATCH(C34,$A$3:$S$3,0)</f>
        <v>8</v>
      </c>
      <c r="B34" s="3">
        <f>INDEX($Z$3:$Z$16,MATCH(C34,$AE$3:$AE$16,0))</f>
        <v>6</v>
      </c>
      <c r="C34" s="1" t="str">
        <v>KTB</v>
      </c>
      <c r="D34" s="19"/>
      <c r="E34" s="1"/>
      <c r="G34" s="4" t="s">
        <v>33</v>
      </c>
      <c r="J34" s="24" t="s">
        <v>41</v>
      </c>
      <c r="K34" s="25"/>
      <c r="L34" s="26"/>
      <c r="N34" s="31"/>
      <c r="O34" s="14"/>
      <c r="P34" s="1"/>
      <c r="R34" s="2">
        <v>0</v>
      </c>
      <c r="S34" s="14"/>
      <c r="T34" s="1"/>
    </row>
    <row r="35" spans="1:26" x14ac:dyDescent="0.3">
      <c r="A35">
        <f>MATCH(C35,$A$3:$S$3,0)</f>
        <v>9</v>
      </c>
      <c r="B35" s="3">
        <f>INDEX($Z$3:$Z$16,MATCH(C35,$AE$3:$AE$16,0))</f>
        <v>7</v>
      </c>
      <c r="C35" s="1" t="str">
        <v>MUFG</v>
      </c>
      <c r="D35" s="19"/>
      <c r="E35" s="1"/>
      <c r="G35" s="5" t="s">
        <v>42</v>
      </c>
      <c r="H35" s="23" t="s">
        <v>31</v>
      </c>
      <c r="I35" s="23" t="s">
        <v>36</v>
      </c>
      <c r="J35" s="5" t="s">
        <v>6</v>
      </c>
      <c r="K35" s="5" t="s">
        <v>7</v>
      </c>
      <c r="L35" s="5" t="s">
        <v>8</v>
      </c>
      <c r="N35" s="31"/>
      <c r="O35" s="14"/>
      <c r="P35" s="1"/>
      <c r="R35" s="2">
        <v>0</v>
      </c>
      <c r="S35" s="14"/>
      <c r="T35" s="1"/>
    </row>
    <row r="36" spans="1:26" x14ac:dyDescent="0.3">
      <c r="A36">
        <f>MATCH(C36,$A$3:$S$3,0)</f>
        <v>10</v>
      </c>
      <c r="B36" s="3">
        <f>INDEX($Z$3:$Z$16,MATCH(C36,$AE$3:$AE$16,0))</f>
        <v>8</v>
      </c>
      <c r="C36" s="1" t="str">
        <v>GSB</v>
      </c>
      <c r="D36" s="19"/>
      <c r="E36" s="1"/>
      <c r="G36" s="1" t="str">
        <f>G29</f>
        <v>CB18N08B</v>
      </c>
      <c r="H36" s="20"/>
      <c r="I36" s="20"/>
      <c r="J36" s="20"/>
      <c r="K36" s="20"/>
      <c r="L36" s="20"/>
      <c r="N36" s="31"/>
      <c r="O36" s="14"/>
      <c r="P36" s="1"/>
      <c r="R36" s="2">
        <v>0</v>
      </c>
      <c r="S36" s="14"/>
      <c r="T36" s="1"/>
    </row>
    <row r="37" spans="1:26" x14ac:dyDescent="0.3">
      <c r="A37">
        <f>MATCH(C37,$A$3:$S$3,0)</f>
        <v>11</v>
      </c>
      <c r="B37" s="3">
        <f>INDEX($Z$3:$Z$16,MATCH(C37,$AE$3:$AE$16,0))</f>
        <v>9</v>
      </c>
      <c r="C37" s="1" t="str">
        <v>ICBC</v>
      </c>
      <c r="D37" s="19"/>
      <c r="E37" s="1"/>
      <c r="G37" s="1" t="str">
        <f t="shared" ref="G37:G38" si="7">G30</f>
        <v>CB19606A</v>
      </c>
      <c r="H37" s="20"/>
      <c r="I37" s="20"/>
      <c r="J37" s="20"/>
      <c r="K37" s="20"/>
      <c r="L37" s="20"/>
      <c r="N37" s="31"/>
      <c r="O37" s="14"/>
      <c r="P37" s="1"/>
      <c r="R37" s="2">
        <v>0</v>
      </c>
      <c r="S37" s="14"/>
      <c r="T37" s="1"/>
    </row>
    <row r="38" spans="1:26" ht="15" thickBot="1" x14ac:dyDescent="0.35">
      <c r="A38">
        <f>MATCH(C38,$A$3:$S$3,0)</f>
        <v>12</v>
      </c>
      <c r="B38" s="3">
        <f>INDEX($Z$3:$Z$16,MATCH(C38,$AE$3:$AE$16,0))</f>
        <v>10</v>
      </c>
      <c r="C38" s="1" t="str">
        <v>CIMB</v>
      </c>
      <c r="D38" s="19"/>
      <c r="E38" s="1"/>
      <c r="G38" s="1" t="str">
        <f t="shared" si="7"/>
        <v>CB19207A</v>
      </c>
      <c r="H38" s="20"/>
      <c r="I38" s="20"/>
      <c r="J38" s="20"/>
      <c r="K38" s="20"/>
      <c r="L38" s="20"/>
      <c r="O38" s="7">
        <f>SUM(O29:O37)</f>
        <v>3200</v>
      </c>
      <c r="P38" s="7"/>
      <c r="S38" s="7">
        <f>SUM(O38:R38)</f>
        <v>3200</v>
      </c>
      <c r="T38" s="7"/>
    </row>
    <row r="39" spans="1:26" ht="15" thickTop="1" x14ac:dyDescent="0.3">
      <c r="A39">
        <f>MATCH(C39,$A$3:$S$3,0)</f>
        <v>13</v>
      </c>
      <c r="B39" s="3">
        <f>INDEX($Z$3:$Z$16,MATCH(C39,$AE$3:$AE$16,0))</f>
        <v>11</v>
      </c>
      <c r="C39" s="1" t="str">
        <v>SC</v>
      </c>
      <c r="D39" s="19"/>
      <c r="E39" s="1"/>
    </row>
    <row r="40" spans="1:26" x14ac:dyDescent="0.3">
      <c r="A40">
        <f>MATCH(C40,$A$3:$S$3,0)</f>
        <v>14</v>
      </c>
      <c r="B40" s="3">
        <f>INDEX($Z$3:$Z$16,MATCH(C40,$AE$3:$AE$16,0))</f>
        <v>12</v>
      </c>
      <c r="C40" s="1" t="str">
        <v>CITI</v>
      </c>
      <c r="D40" s="19"/>
      <c r="E40" s="1"/>
      <c r="G40" s="4"/>
      <c r="N40" s="4" t="str">
        <f>"Auction Excute : " &amp;G30</f>
        <v>Auction Excute : CB19606A</v>
      </c>
      <c r="R40" s="4" t="s">
        <v>33</v>
      </c>
    </row>
    <row r="41" spans="1:26" x14ac:dyDescent="0.3">
      <c r="A41">
        <f>MATCH(C41,$A$3:$S$3,0)</f>
        <v>15</v>
      </c>
      <c r="B41" s="3">
        <f>INDEX($Z$3:$Z$16,MATCH(C41,$AE$3:$AE$16,0))</f>
        <v>13</v>
      </c>
      <c r="C41" s="1" t="str">
        <v>HSBC</v>
      </c>
      <c r="D41" s="19"/>
      <c r="E41" s="1"/>
      <c r="N41" s="5" t="s">
        <v>0</v>
      </c>
      <c r="O41" s="5" t="s">
        <v>4</v>
      </c>
      <c r="P41" s="5" t="s">
        <v>41</v>
      </c>
      <c r="R41" s="5" t="s">
        <v>0</v>
      </c>
      <c r="S41" s="5" t="s">
        <v>4</v>
      </c>
      <c r="T41" s="5" t="s">
        <v>41</v>
      </c>
    </row>
    <row r="42" spans="1:26" x14ac:dyDescent="0.3">
      <c r="A42">
        <f>MATCH(C42,$A$3:$S$3,0)</f>
        <v>16</v>
      </c>
      <c r="B42" s="3">
        <f>INDEX($Z$3:$Z$16,MATCH(C42,$AE$3:$AE$16,0))</f>
        <v>14</v>
      </c>
      <c r="C42" s="1" t="str">
        <v>UOB</v>
      </c>
      <c r="D42" s="19"/>
      <c r="E42" s="1"/>
      <c r="N42" s="3"/>
      <c r="O42" s="3"/>
      <c r="P42" s="3"/>
      <c r="R42" s="2">
        <f t="array" ref="R42:R50">N42:N50</f>
        <v>0</v>
      </c>
      <c r="S42" s="3"/>
      <c r="T42" s="3"/>
    </row>
    <row r="43" spans="1:26" x14ac:dyDescent="0.3">
      <c r="N43" s="1"/>
      <c r="O43" s="1"/>
      <c r="P43" s="1"/>
      <c r="R43" s="2">
        <v>0</v>
      </c>
      <c r="S43" s="1"/>
      <c r="T43" s="1"/>
    </row>
    <row r="44" spans="1:26" x14ac:dyDescent="0.3">
      <c r="N44" s="1"/>
      <c r="O44" s="1"/>
      <c r="P44" s="1"/>
      <c r="R44" s="2">
        <v>0</v>
      </c>
      <c r="S44" s="1"/>
      <c r="T44" s="1"/>
    </row>
    <row r="45" spans="1:26" x14ac:dyDescent="0.3">
      <c r="A45" t="s">
        <v>53</v>
      </c>
      <c r="B45" s="4" t="s">
        <v>9</v>
      </c>
      <c r="C45" t="s">
        <v>10</v>
      </c>
      <c r="N45" s="1"/>
      <c r="O45" s="1"/>
      <c r="P45" s="1"/>
      <c r="R45" s="2">
        <v>0</v>
      </c>
      <c r="S45" s="1"/>
      <c r="T45" s="1"/>
    </row>
    <row r="46" spans="1:26" x14ac:dyDescent="0.3">
      <c r="C46" t="s">
        <v>11</v>
      </c>
      <c r="N46" s="1"/>
      <c r="O46" s="1"/>
      <c r="P46" s="1"/>
      <c r="R46" s="2">
        <v>0</v>
      </c>
      <c r="S46" s="1"/>
      <c r="T46" s="1"/>
    </row>
    <row r="47" spans="1:26" x14ac:dyDescent="0.3">
      <c r="D47" t="s">
        <v>12</v>
      </c>
      <c r="N47" s="1"/>
      <c r="O47" s="1"/>
      <c r="P47" s="1"/>
      <c r="R47" s="2">
        <v>0</v>
      </c>
      <c r="S47" s="1"/>
      <c r="T47" s="1"/>
    </row>
    <row r="48" spans="1:26" x14ac:dyDescent="0.3">
      <c r="D48" t="s">
        <v>13</v>
      </c>
      <c r="N48" s="1"/>
      <c r="O48" s="1"/>
      <c r="P48" s="1"/>
      <c r="R48" s="2">
        <v>0</v>
      </c>
      <c r="S48" s="1"/>
      <c r="T48" s="1"/>
    </row>
    <row r="49" spans="3:20" x14ac:dyDescent="0.3">
      <c r="D49" t="s">
        <v>14</v>
      </c>
      <c r="N49" s="1"/>
      <c r="O49" s="1"/>
      <c r="P49" s="1"/>
      <c r="R49" s="2">
        <v>0</v>
      </c>
      <c r="S49" s="1"/>
      <c r="T49" s="1"/>
    </row>
    <row r="50" spans="3:20" x14ac:dyDescent="0.3">
      <c r="C50" t="s">
        <v>15</v>
      </c>
      <c r="N50" s="1"/>
      <c r="O50" s="1"/>
      <c r="P50" s="1"/>
      <c r="R50" s="2">
        <v>0</v>
      </c>
      <c r="S50" s="1"/>
      <c r="T50" s="1"/>
    </row>
    <row r="51" spans="3:20" ht="15" thickBot="1" x14ac:dyDescent="0.35">
      <c r="O51" s="7"/>
      <c r="P51" s="7"/>
      <c r="S51" s="7"/>
      <c r="T51" s="7"/>
    </row>
    <row r="52" spans="3:20" ht="15" thickTop="1" x14ac:dyDescent="0.3"/>
  </sheetData>
  <mergeCells count="4">
    <mergeCell ref="B2:V2"/>
    <mergeCell ref="B9:V9"/>
    <mergeCell ref="B18:V18"/>
    <mergeCell ref="J34:L34"/>
  </mergeCells>
  <conditionalFormatting sqref="C7:S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:S1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S2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Z21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Y3:Y16">
    <cfRule type="cellIs" dxfId="57" priority="7" operator="equal">
      <formula>1</formula>
    </cfRule>
  </conditionalFormatting>
  <conditionalFormatting sqref="AH10">
    <cfRule type="cellIs" dxfId="56" priority="5" operator="greaterThan">
      <formula>0.4</formula>
    </cfRule>
    <cfRule type="cellIs" dxfId="55" priority="6" operator="lessThan">
      <formula>0.5</formula>
    </cfRule>
  </conditionalFormatting>
  <conditionalFormatting sqref="AH16">
    <cfRule type="cellIs" dxfId="54" priority="3" operator="greaterThan">
      <formula>0.4</formula>
    </cfRule>
    <cfRule type="cellIs" dxfId="53" priority="4" operator="lessThan">
      <formula>0.5</formula>
    </cfRule>
  </conditionalFormatting>
  <conditionalFormatting sqref="AH5">
    <cfRule type="cellIs" dxfId="52" priority="1" operator="greaterThan">
      <formula>0.9</formula>
    </cfRule>
    <cfRule type="cellIs" dxfId="51" priority="2" operator="lessThan">
      <formula>0.9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F53E51F9-8B88-49C5-B681-AD24B968D78D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AD3:AD16</xm:sqref>
        </x14:conditionalFormatting>
        <x14:conditionalFormatting xmlns:xm="http://schemas.microsoft.com/office/excel/2006/main">
          <x14:cfRule type="iconSet" priority="9" id="{A2E3477E-B901-4004-B7F9-854C9DEB01C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AA3:AC16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6B07F-B29E-4A24-A05F-37440E77E415}">
  <sheetPr codeName="Sheet3"/>
  <dimension ref="A1:AJ52"/>
  <sheetViews>
    <sheetView topLeftCell="B1" workbookViewId="0">
      <selection activeCell="M42" sqref="M42"/>
    </sheetView>
  </sheetViews>
  <sheetFormatPr defaultRowHeight="14.4" outlineLevelRow="1" x14ac:dyDescent="0.3"/>
  <cols>
    <col min="1" max="1" width="8.88671875" hidden="1" customWidth="1"/>
    <col min="2" max="2" width="9.5546875" customWidth="1"/>
    <col min="3" max="3" width="9.88671875" customWidth="1"/>
    <col min="4" max="4" width="13.109375" customWidth="1"/>
    <col min="5" max="5" width="12" customWidth="1"/>
    <col min="7" max="7" width="9.77734375" customWidth="1"/>
    <col min="8" max="8" width="10.77734375" customWidth="1"/>
    <col min="20" max="20" width="10.109375" customWidth="1"/>
    <col min="24" max="24" width="4.44140625" customWidth="1"/>
    <col min="26" max="26" width="9.44140625" bestFit="1" customWidth="1"/>
    <col min="32" max="32" width="13.44140625" customWidth="1"/>
    <col min="33" max="33" width="15.109375" customWidth="1"/>
    <col min="34" max="34" width="9.6640625" customWidth="1"/>
  </cols>
  <sheetData>
    <row r="1" spans="2:36" x14ac:dyDescent="0.3">
      <c r="B1" s="4" t="s">
        <v>32</v>
      </c>
      <c r="Y1" s="4" t="s">
        <v>54</v>
      </c>
    </row>
    <row r="2" spans="2:36" ht="16.2" customHeight="1" x14ac:dyDescent="0.3">
      <c r="B2" s="22" t="str">
        <f>"Indicative yield : " &amp;G29</f>
        <v>Indicative yield : CB18N08B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Y2" s="5" t="s">
        <v>5</v>
      </c>
      <c r="Z2" s="5" t="s">
        <v>30</v>
      </c>
      <c r="AA2" s="5" t="s">
        <v>38</v>
      </c>
      <c r="AB2" s="5" t="s">
        <v>39</v>
      </c>
      <c r="AC2" s="5" t="s">
        <v>40</v>
      </c>
      <c r="AD2" s="5" t="s">
        <v>46</v>
      </c>
      <c r="AE2" s="5" t="s">
        <v>0</v>
      </c>
      <c r="AF2" s="5" t="s">
        <v>35</v>
      </c>
      <c r="AG2" s="5" t="s">
        <v>34</v>
      </c>
      <c r="AH2" s="5" t="s">
        <v>56</v>
      </c>
    </row>
    <row r="3" spans="2:36" x14ac:dyDescent="0.3">
      <c r="B3" s="5" t="s">
        <v>0</v>
      </c>
      <c r="C3" s="5" t="str">
        <f t="array" ref="C3:S3">TRANSPOSE($AE$3:$AE$16)</f>
        <v>SCB</v>
      </c>
      <c r="D3" s="5" t="str">
        <v>TMB</v>
      </c>
      <c r="E3" s="5" t="str">
        <v>BBL</v>
      </c>
      <c r="F3" s="5" t="str">
        <v>KBANK</v>
      </c>
      <c r="G3" s="5" t="str">
        <v>BNP</v>
      </c>
      <c r="H3" s="5" t="str">
        <v>KTB</v>
      </c>
      <c r="I3" s="5" t="str">
        <v>MUFG</v>
      </c>
      <c r="J3" s="5" t="str">
        <v>GSB</v>
      </c>
      <c r="K3" s="5" t="str">
        <v>ICBC</v>
      </c>
      <c r="L3" s="5" t="str">
        <v>CIMB</v>
      </c>
      <c r="M3" s="5" t="str">
        <v>SC</v>
      </c>
      <c r="N3" s="5" t="str">
        <v>CITI</v>
      </c>
      <c r="O3" s="5" t="str">
        <v>HSBC</v>
      </c>
      <c r="P3" s="5" t="str">
        <v>UOB</v>
      </c>
      <c r="Q3" s="5" t="e">
        <v>#N/A</v>
      </c>
      <c r="R3" s="5" t="e">
        <v>#N/A</v>
      </c>
      <c r="S3" s="5" t="e">
        <v>#N/A</v>
      </c>
      <c r="T3" s="16" t="s">
        <v>6</v>
      </c>
      <c r="U3" s="16" t="s">
        <v>7</v>
      </c>
      <c r="V3" s="16" t="s">
        <v>8</v>
      </c>
      <c r="Y3" s="3">
        <v>1</v>
      </c>
      <c r="Z3" s="6">
        <v>1</v>
      </c>
      <c r="AA3" s="6">
        <v>1</v>
      </c>
      <c r="AB3" s="6">
        <v>1</v>
      </c>
      <c r="AC3" s="6">
        <v>0</v>
      </c>
      <c r="AD3" s="6">
        <f ca="1">IF(SUM(OFFSET(INDIRECT(ADDRESS(3,$A29)),1,0,3)) &gt; 0,1,0)</f>
        <v>1</v>
      </c>
      <c r="AE3" s="43" t="s">
        <v>16</v>
      </c>
      <c r="AF3" s="3">
        <f>SUMIF($R$29:$R$51,AE3,$S$29:$S$51)</f>
        <v>0</v>
      </c>
      <c r="AG3" s="10">
        <f ca="1">INDIRECT("'"&amp;$A$45&amp;"'!"&amp;ADDRESS(A29,33))+AF3</f>
        <v>5000</v>
      </c>
      <c r="AH3" s="40"/>
      <c r="AJ3" s="4"/>
    </row>
    <row r="4" spans="2:36" x14ac:dyDescent="0.3">
      <c r="B4" s="5" t="s">
        <v>1</v>
      </c>
      <c r="C4" s="8">
        <v>2.2000000000000002</v>
      </c>
      <c r="D4" s="8">
        <v>2.1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21">
        <f>MIN(C4:S4)</f>
        <v>2.1</v>
      </c>
      <c r="U4" s="21">
        <f>MAX(C4:S4)</f>
        <v>2.2000000000000002</v>
      </c>
      <c r="V4" s="21">
        <f>AVERAGE(C4:S4)</f>
        <v>2.1500000000000004</v>
      </c>
      <c r="Y4" s="3">
        <v>1</v>
      </c>
      <c r="Z4" s="6">
        <v>2</v>
      </c>
      <c r="AA4" s="6">
        <v>1</v>
      </c>
      <c r="AB4" s="6">
        <v>1</v>
      </c>
      <c r="AC4" s="6">
        <v>0</v>
      </c>
      <c r="AD4" s="6">
        <f ca="1">IF(SUM(OFFSET(INDIRECT(ADDRESS(3,$A30)),1,0,3)) &gt; 0,1,0)</f>
        <v>1</v>
      </c>
      <c r="AE4" s="43" t="s">
        <v>17</v>
      </c>
      <c r="AF4" s="3">
        <f t="shared" ref="AF4:AF16" si="0">SUMIF($R$29:$R$51,AE4,$S$29:$S$51)</f>
        <v>0</v>
      </c>
      <c r="AG4" s="10">
        <f t="shared" ref="AG4:AG16" ca="1" si="1">INDIRECT("'"&amp;$A$45&amp;"'!"&amp;ADDRESS(A30,33))+AF4</f>
        <v>0</v>
      </c>
      <c r="AH4" s="41"/>
    </row>
    <row r="5" spans="2:36" x14ac:dyDescent="0.3">
      <c r="B5" s="5" t="s">
        <v>2</v>
      </c>
      <c r="C5" s="8">
        <v>2.5</v>
      </c>
      <c r="D5" s="8"/>
      <c r="E5" s="8"/>
      <c r="F5" s="8">
        <v>2</v>
      </c>
      <c r="G5" s="8"/>
      <c r="H5" s="8"/>
      <c r="I5" s="8"/>
      <c r="J5" s="8"/>
      <c r="K5" s="8"/>
      <c r="L5" s="8">
        <v>1.5</v>
      </c>
      <c r="M5" s="8"/>
      <c r="N5" s="8"/>
      <c r="O5" s="8"/>
      <c r="P5" s="8"/>
      <c r="Q5" s="8"/>
      <c r="R5" s="8"/>
      <c r="S5" s="8"/>
      <c r="T5" s="21">
        <f>MIN(C5:S5)</f>
        <v>1.5</v>
      </c>
      <c r="U5" s="21">
        <f>MAX(C5:S5)</f>
        <v>2.5</v>
      </c>
      <c r="V5" s="21">
        <f>AVERAGE(C5:S5)</f>
        <v>2</v>
      </c>
      <c r="Y5" s="3">
        <v>1</v>
      </c>
      <c r="Z5" s="6">
        <v>3</v>
      </c>
      <c r="AA5" s="6">
        <v>1</v>
      </c>
      <c r="AB5" s="6">
        <v>1</v>
      </c>
      <c r="AC5" s="6">
        <v>1</v>
      </c>
      <c r="AD5" s="6">
        <f ca="1">IF(SUM(OFFSET(INDIRECT(ADDRESS(3,$A31)),1,0,3)) &gt; 0,1,0)</f>
        <v>0</v>
      </c>
      <c r="AE5" s="43" t="s">
        <v>18</v>
      </c>
      <c r="AF5" s="3">
        <f t="shared" si="0"/>
        <v>0</v>
      </c>
      <c r="AG5" s="27">
        <f t="shared" ca="1" si="1"/>
        <v>0</v>
      </c>
      <c r="AH5" s="42">
        <f ca="1">SUMIF($Y$3:$Y$16,$Y$3,$AG$3:$AG$16)/$AF$17</f>
        <v>1</v>
      </c>
    </row>
    <row r="6" spans="2:36" x14ac:dyDescent="0.3">
      <c r="B6" s="5" t="s">
        <v>3</v>
      </c>
      <c r="C6" s="18">
        <v>2.12</v>
      </c>
      <c r="D6" s="18"/>
      <c r="E6" s="18"/>
      <c r="F6" s="18"/>
      <c r="G6" s="18"/>
      <c r="H6" s="18"/>
      <c r="I6" s="18">
        <v>3</v>
      </c>
      <c r="J6" s="18">
        <v>2.2999999999999998</v>
      </c>
      <c r="K6" s="18"/>
      <c r="L6" s="18"/>
      <c r="M6" s="18"/>
      <c r="N6" s="18"/>
      <c r="O6" s="18"/>
      <c r="P6" s="18"/>
      <c r="Q6" s="18"/>
      <c r="R6" s="18"/>
      <c r="S6" s="18"/>
      <c r="T6" s="21">
        <f>MIN(C6:S6)</f>
        <v>2.12</v>
      </c>
      <c r="U6" s="21">
        <f>MAX(C6:S6)</f>
        <v>3</v>
      </c>
      <c r="V6" s="21">
        <f>AVERAGE(C6:S6)</f>
        <v>2.4733333333333332</v>
      </c>
      <c r="Y6" s="32">
        <v>2</v>
      </c>
      <c r="Z6" s="33">
        <v>4</v>
      </c>
      <c r="AA6" s="33">
        <v>1</v>
      </c>
      <c r="AB6" s="33">
        <v>1</v>
      </c>
      <c r="AC6" s="33">
        <v>1</v>
      </c>
      <c r="AD6" s="33">
        <f ca="1">IF(SUM(OFFSET(INDIRECT(ADDRESS(3,$A32)),1,0,3)) &gt; 0,1,0)</f>
        <v>1</v>
      </c>
      <c r="AE6" s="43" t="s">
        <v>19</v>
      </c>
      <c r="AF6" s="3">
        <f t="shared" si="0"/>
        <v>0</v>
      </c>
      <c r="AG6" s="10">
        <f t="shared" ca="1" si="1"/>
        <v>0</v>
      </c>
      <c r="AH6" s="41"/>
    </row>
    <row r="7" spans="2:36" x14ac:dyDescent="0.3">
      <c r="B7" s="9" t="s">
        <v>8</v>
      </c>
      <c r="C7" s="1">
        <f>IFERROR(AVERAGE(C4:C6),"")</f>
        <v>2.2733333333333334</v>
      </c>
      <c r="D7" s="1">
        <f t="shared" ref="D7:S7" si="2">IFERROR(AVERAGE(D4:D6),"")</f>
        <v>2.1</v>
      </c>
      <c r="E7" s="1" t="str">
        <f t="shared" si="2"/>
        <v/>
      </c>
      <c r="F7" s="1">
        <f t="shared" si="2"/>
        <v>2</v>
      </c>
      <c r="G7" s="1" t="str">
        <f t="shared" si="2"/>
        <v/>
      </c>
      <c r="H7" s="1" t="str">
        <f t="shared" si="2"/>
        <v/>
      </c>
      <c r="I7" s="1">
        <f t="shared" si="2"/>
        <v>3</v>
      </c>
      <c r="J7" s="1">
        <f t="shared" si="2"/>
        <v>2.2999999999999998</v>
      </c>
      <c r="K7" s="1" t="str">
        <f t="shared" si="2"/>
        <v/>
      </c>
      <c r="L7" s="1">
        <f t="shared" si="2"/>
        <v>1.5</v>
      </c>
      <c r="M7" s="1" t="str">
        <f t="shared" si="2"/>
        <v/>
      </c>
      <c r="N7" s="1" t="str">
        <f t="shared" si="2"/>
        <v/>
      </c>
      <c r="O7" s="1" t="str">
        <f t="shared" si="2"/>
        <v/>
      </c>
      <c r="P7" s="1" t="str">
        <f t="shared" si="2"/>
        <v/>
      </c>
      <c r="Q7" s="1" t="str">
        <f t="shared" si="2"/>
        <v/>
      </c>
      <c r="R7" s="1" t="str">
        <f t="shared" si="2"/>
        <v/>
      </c>
      <c r="S7" s="1" t="str">
        <f t="shared" si="2"/>
        <v/>
      </c>
      <c r="T7" s="17">
        <f>MAX(T4:T6)</f>
        <v>2.12</v>
      </c>
      <c r="U7" s="17">
        <f>MAX(U4:U6)</f>
        <v>3</v>
      </c>
      <c r="V7" s="17">
        <f>MAX(V4:V6)</f>
        <v>2.4733333333333332</v>
      </c>
      <c r="Y7" s="3">
        <v>2</v>
      </c>
      <c r="Z7" s="6">
        <v>5</v>
      </c>
      <c r="AA7" s="6">
        <v>1</v>
      </c>
      <c r="AB7" s="6">
        <v>1</v>
      </c>
      <c r="AC7" s="6">
        <v>0</v>
      </c>
      <c r="AD7" s="6">
        <f ca="1">IF(SUM(OFFSET(INDIRECT(ADDRESS(3,$A33)),1,0,3)) &gt; 0,1,0)</f>
        <v>0</v>
      </c>
      <c r="AE7" s="43" t="s">
        <v>20</v>
      </c>
      <c r="AF7" s="3">
        <f t="shared" si="0"/>
        <v>0</v>
      </c>
      <c r="AG7" s="10">
        <f t="shared" ca="1" si="1"/>
        <v>0</v>
      </c>
      <c r="AH7" s="41"/>
    </row>
    <row r="8" spans="2:36" x14ac:dyDescent="0.3">
      <c r="Y8" s="3">
        <v>2</v>
      </c>
      <c r="Z8" s="6">
        <v>6</v>
      </c>
      <c r="AA8" s="6">
        <v>1</v>
      </c>
      <c r="AB8" s="6">
        <v>1</v>
      </c>
      <c r="AC8" s="6">
        <v>0</v>
      </c>
      <c r="AD8" s="6">
        <f ca="1">IF(SUM(OFFSET(INDIRECT(ADDRESS(3,$A34)),1,0,3)) &gt; 0,1,0)</f>
        <v>0</v>
      </c>
      <c r="AE8" s="43" t="s">
        <v>21</v>
      </c>
      <c r="AF8" s="3">
        <f t="shared" si="0"/>
        <v>0</v>
      </c>
      <c r="AG8" s="10">
        <f t="shared" ca="1" si="1"/>
        <v>0</v>
      </c>
      <c r="AH8" s="41"/>
    </row>
    <row r="9" spans="2:36" x14ac:dyDescent="0.3">
      <c r="B9" s="22" t="str">
        <f>"Indicative yield : " &amp;G30</f>
        <v>Indicative yield : CB19606A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Y9" s="3">
        <v>2</v>
      </c>
      <c r="Z9" s="6">
        <v>7</v>
      </c>
      <c r="AA9" s="6">
        <v>1</v>
      </c>
      <c r="AB9" s="6">
        <v>1</v>
      </c>
      <c r="AC9" s="6">
        <v>0</v>
      </c>
      <c r="AD9" s="6">
        <f ca="1">IF(SUM(OFFSET(INDIRECT(ADDRESS(3,$A35)),1,0,3)) &gt; 0,1,0)</f>
        <v>1</v>
      </c>
      <c r="AE9" s="43" t="s">
        <v>22</v>
      </c>
      <c r="AF9" s="3">
        <f t="shared" si="0"/>
        <v>0</v>
      </c>
      <c r="AG9" s="10">
        <f t="shared" ca="1" si="1"/>
        <v>0</v>
      </c>
      <c r="AH9" s="41"/>
    </row>
    <row r="10" spans="2:36" x14ac:dyDescent="0.3">
      <c r="B10" s="5" t="s">
        <v>0</v>
      </c>
      <c r="C10" s="5" t="str">
        <f t="array" ref="C10:S10">TRANSPOSE($AE$3:$AE$16)</f>
        <v>SCB</v>
      </c>
      <c r="D10" s="5" t="str">
        <v>TMB</v>
      </c>
      <c r="E10" s="5" t="str">
        <v>BBL</v>
      </c>
      <c r="F10" s="5" t="str">
        <v>KBANK</v>
      </c>
      <c r="G10" s="5" t="str">
        <v>BNP</v>
      </c>
      <c r="H10" s="5" t="str">
        <v>KTB</v>
      </c>
      <c r="I10" s="5" t="str">
        <v>MUFG</v>
      </c>
      <c r="J10" s="5" t="str">
        <v>GSB</v>
      </c>
      <c r="K10" s="5" t="str">
        <v>ICBC</v>
      </c>
      <c r="L10" s="5" t="str">
        <v>CIMB</v>
      </c>
      <c r="M10" s="5" t="str">
        <v>SC</v>
      </c>
      <c r="N10" s="5" t="str">
        <v>CITI</v>
      </c>
      <c r="O10" s="5" t="str">
        <v>HSBC</v>
      </c>
      <c r="P10" s="5" t="str">
        <v>UOB</v>
      </c>
      <c r="Q10" s="5" t="e">
        <v>#N/A</v>
      </c>
      <c r="R10" s="5" t="e">
        <v>#N/A</v>
      </c>
      <c r="S10" s="5" t="e">
        <v>#N/A</v>
      </c>
      <c r="T10" s="16" t="s">
        <v>6</v>
      </c>
      <c r="U10" s="16" t="s">
        <v>7</v>
      </c>
      <c r="V10" s="16" t="s">
        <v>8</v>
      </c>
      <c r="Y10" s="32">
        <v>2</v>
      </c>
      <c r="Z10" s="33">
        <v>8</v>
      </c>
      <c r="AA10" s="33">
        <v>1</v>
      </c>
      <c r="AB10" s="33">
        <v>1</v>
      </c>
      <c r="AC10" s="33">
        <v>0</v>
      </c>
      <c r="AD10" s="33">
        <f ca="1">IF(SUM(OFFSET(INDIRECT(ADDRESS(3,$A36)),1,0,3)) &gt; 0,1,0)</f>
        <v>1</v>
      </c>
      <c r="AE10" s="43" t="s">
        <v>23</v>
      </c>
      <c r="AF10" s="3">
        <f t="shared" si="0"/>
        <v>0</v>
      </c>
      <c r="AG10" s="34">
        <f t="shared" ca="1" si="1"/>
        <v>0</v>
      </c>
      <c r="AH10" s="42">
        <f ca="1">SUMIF($Y$3:$Y$16,$Y$6,$AG$3:$AG$16)/$AF$17</f>
        <v>0</v>
      </c>
    </row>
    <row r="11" spans="2:36" x14ac:dyDescent="0.3">
      <c r="B11" s="5" t="s">
        <v>1</v>
      </c>
      <c r="C11" s="8">
        <v>2.2000000000000002</v>
      </c>
      <c r="D11" s="8">
        <v>2.1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21">
        <f>MIN(C11:S11)</f>
        <v>2.1</v>
      </c>
      <c r="U11" s="21">
        <f>MAX(C11:S11)</f>
        <v>2.2000000000000002</v>
      </c>
      <c r="V11" s="21">
        <f>AVERAGE(C11:S11)</f>
        <v>2.1500000000000004</v>
      </c>
      <c r="Y11" s="3">
        <v>3</v>
      </c>
      <c r="Z11" s="6">
        <v>9</v>
      </c>
      <c r="AA11" s="6">
        <v>1</v>
      </c>
      <c r="AB11" s="6">
        <v>1</v>
      </c>
      <c r="AC11" s="6">
        <v>0</v>
      </c>
      <c r="AD11" s="6">
        <f ca="1">IF(SUM(OFFSET(INDIRECT(ADDRESS(3,$A37)),1,0,3)) &gt; 0,1,0)</f>
        <v>0</v>
      </c>
      <c r="AE11" s="43" t="s">
        <v>24</v>
      </c>
      <c r="AF11" s="3">
        <f t="shared" si="0"/>
        <v>0</v>
      </c>
      <c r="AG11" s="10">
        <f t="shared" ca="1" si="1"/>
        <v>0</v>
      </c>
      <c r="AH11" s="41"/>
    </row>
    <row r="12" spans="2:36" x14ac:dyDescent="0.3">
      <c r="B12" s="5" t="s">
        <v>2</v>
      </c>
      <c r="C12" s="8">
        <v>2.5</v>
      </c>
      <c r="D12" s="8"/>
      <c r="E12" s="8"/>
      <c r="F12" s="8">
        <v>2</v>
      </c>
      <c r="G12" s="8"/>
      <c r="H12" s="8"/>
      <c r="I12" s="8"/>
      <c r="J12" s="8"/>
      <c r="K12" s="8"/>
      <c r="L12" s="8">
        <v>1.5</v>
      </c>
      <c r="M12" s="8"/>
      <c r="N12" s="8"/>
      <c r="O12" s="8"/>
      <c r="P12" s="8"/>
      <c r="Q12" s="8"/>
      <c r="R12" s="8"/>
      <c r="S12" s="8"/>
      <c r="T12" s="21">
        <f>MIN(C12:S12)</f>
        <v>1.5</v>
      </c>
      <c r="U12" s="21">
        <f>MAX(C12:S12)</f>
        <v>2.5</v>
      </c>
      <c r="V12" s="21">
        <f>AVERAGE(C12:S12)</f>
        <v>2</v>
      </c>
      <c r="Y12" s="3">
        <v>3</v>
      </c>
      <c r="Z12" s="6">
        <v>10</v>
      </c>
      <c r="AA12" s="6">
        <v>1</v>
      </c>
      <c r="AB12" s="6">
        <v>1</v>
      </c>
      <c r="AC12" s="6">
        <v>0</v>
      </c>
      <c r="AD12" s="6">
        <f ca="1">IF(SUM(OFFSET(INDIRECT(ADDRESS(3,$A38)),1,0,3)) &gt; 0,1,0)</f>
        <v>1</v>
      </c>
      <c r="AE12" s="43" t="s">
        <v>25</v>
      </c>
      <c r="AF12" s="3">
        <f t="shared" si="0"/>
        <v>0</v>
      </c>
      <c r="AG12" s="10">
        <f t="shared" ca="1" si="1"/>
        <v>0</v>
      </c>
      <c r="AH12" s="41"/>
    </row>
    <row r="13" spans="2:36" x14ac:dyDescent="0.3">
      <c r="B13" s="5" t="s">
        <v>3</v>
      </c>
      <c r="C13" s="18">
        <v>2.12</v>
      </c>
      <c r="D13" s="18"/>
      <c r="E13" s="18"/>
      <c r="F13" s="18"/>
      <c r="G13" s="18"/>
      <c r="H13" s="18"/>
      <c r="I13" s="18">
        <v>3</v>
      </c>
      <c r="J13" s="18">
        <v>2.2999999999999998</v>
      </c>
      <c r="K13" s="18"/>
      <c r="L13" s="18"/>
      <c r="M13" s="18"/>
      <c r="N13" s="18"/>
      <c r="O13" s="18"/>
      <c r="P13" s="18"/>
      <c r="Q13" s="18"/>
      <c r="R13" s="18"/>
      <c r="S13" s="18"/>
      <c r="T13" s="21">
        <f>MIN(C13:S13)</f>
        <v>2.12</v>
      </c>
      <c r="U13" s="21">
        <f>MAX(C13:S13)</f>
        <v>3</v>
      </c>
      <c r="V13" s="21">
        <f>AVERAGE(C13:S13)</f>
        <v>2.4733333333333332</v>
      </c>
      <c r="Y13" s="32">
        <v>3</v>
      </c>
      <c r="Z13" s="33">
        <v>11</v>
      </c>
      <c r="AA13" s="33">
        <v>1</v>
      </c>
      <c r="AB13" s="33">
        <v>1</v>
      </c>
      <c r="AC13" s="33">
        <v>0</v>
      </c>
      <c r="AD13" s="33">
        <f ca="1">IF(SUM(OFFSET(INDIRECT(ADDRESS(3,$A39)),1,0,3)) &gt; 0,1,0)</f>
        <v>0</v>
      </c>
      <c r="AE13" s="43" t="s">
        <v>26</v>
      </c>
      <c r="AF13" s="3">
        <f t="shared" si="0"/>
        <v>0</v>
      </c>
      <c r="AG13" s="10">
        <f t="shared" ca="1" si="1"/>
        <v>0</v>
      </c>
      <c r="AH13" s="41"/>
    </row>
    <row r="14" spans="2:36" x14ac:dyDescent="0.3">
      <c r="B14" s="9" t="s">
        <v>8</v>
      </c>
      <c r="C14" s="1">
        <f>IFERROR(AVERAGE(C11:C13),"")</f>
        <v>2.2733333333333334</v>
      </c>
      <c r="D14" s="1">
        <f t="shared" ref="D14:S14" si="3">IFERROR(AVERAGE(D11:D13),"")</f>
        <v>2.1</v>
      </c>
      <c r="E14" s="1" t="str">
        <f t="shared" si="3"/>
        <v/>
      </c>
      <c r="F14" s="1">
        <f t="shared" si="3"/>
        <v>2</v>
      </c>
      <c r="G14" s="1" t="str">
        <f t="shared" si="3"/>
        <v/>
      </c>
      <c r="H14" s="1" t="str">
        <f t="shared" si="3"/>
        <v/>
      </c>
      <c r="I14" s="1">
        <f t="shared" si="3"/>
        <v>3</v>
      </c>
      <c r="J14" s="1">
        <f t="shared" si="3"/>
        <v>2.2999999999999998</v>
      </c>
      <c r="K14" s="1" t="str">
        <f t="shared" si="3"/>
        <v/>
      </c>
      <c r="L14" s="1">
        <f t="shared" si="3"/>
        <v>1.5</v>
      </c>
      <c r="M14" s="1" t="str">
        <f t="shared" si="3"/>
        <v/>
      </c>
      <c r="N14" s="1" t="str">
        <f t="shared" si="3"/>
        <v/>
      </c>
      <c r="O14" s="1" t="str">
        <f t="shared" si="3"/>
        <v/>
      </c>
      <c r="P14" s="1" t="str">
        <f t="shared" si="3"/>
        <v/>
      </c>
      <c r="Q14" s="1" t="str">
        <f t="shared" si="3"/>
        <v/>
      </c>
      <c r="R14" s="1" t="str">
        <f t="shared" si="3"/>
        <v/>
      </c>
      <c r="S14" s="1" t="str">
        <f t="shared" si="3"/>
        <v/>
      </c>
      <c r="T14" s="17">
        <f>MAX(T11:T13)</f>
        <v>2.12</v>
      </c>
      <c r="U14" s="17">
        <f t="shared" ref="U14:V14" si="4">MAX(U11:U13)</f>
        <v>3</v>
      </c>
      <c r="V14" s="17">
        <f t="shared" si="4"/>
        <v>2.4733333333333332</v>
      </c>
      <c r="Y14" s="3">
        <v>3</v>
      </c>
      <c r="Z14" s="6">
        <v>12</v>
      </c>
      <c r="AA14" s="6">
        <v>1</v>
      </c>
      <c r="AB14" s="6">
        <v>1</v>
      </c>
      <c r="AC14" s="6">
        <v>0</v>
      </c>
      <c r="AD14" s="6">
        <f ca="1">IF(SUM(OFFSET(INDIRECT(ADDRESS(3,$A40)),1,0,3)) &gt; 0,1,0)</f>
        <v>0</v>
      </c>
      <c r="AE14" s="43" t="s">
        <v>27</v>
      </c>
      <c r="AF14" s="3">
        <f t="shared" si="0"/>
        <v>0</v>
      </c>
      <c r="AG14" s="10">
        <f t="shared" ca="1" si="1"/>
        <v>0</v>
      </c>
      <c r="AH14" s="41"/>
    </row>
    <row r="15" spans="2:36" x14ac:dyDescent="0.3">
      <c r="Y15" s="3">
        <v>3</v>
      </c>
      <c r="Z15" s="6">
        <v>13</v>
      </c>
      <c r="AA15" s="6">
        <v>1</v>
      </c>
      <c r="AB15" s="6">
        <v>1</v>
      </c>
      <c r="AC15" s="6">
        <v>0</v>
      </c>
      <c r="AD15" s="6">
        <f ca="1">IF(SUM(OFFSET(INDIRECT(ADDRESS(3,$A41)),1,0,3)) &gt; 0,1,0)</f>
        <v>0</v>
      </c>
      <c r="AE15" s="43" t="s">
        <v>28</v>
      </c>
      <c r="AF15" s="3">
        <f t="shared" si="0"/>
        <v>0</v>
      </c>
      <c r="AG15" s="10">
        <f t="shared" ca="1" si="1"/>
        <v>0</v>
      </c>
      <c r="AH15" s="41"/>
    </row>
    <row r="16" spans="2:36" x14ac:dyDescent="0.3">
      <c r="Y16" s="3">
        <v>3</v>
      </c>
      <c r="Z16" s="6">
        <v>14</v>
      </c>
      <c r="AA16" s="6">
        <v>1</v>
      </c>
      <c r="AB16" s="6">
        <v>1</v>
      </c>
      <c r="AC16" s="6">
        <v>0</v>
      </c>
      <c r="AD16" s="6">
        <f ca="1">IF(SUM(OFFSET(INDIRECT(ADDRESS(3,$A42)),1,0,3)) &gt; 0,1,0)</f>
        <v>0</v>
      </c>
      <c r="AE16" s="43" t="s">
        <v>29</v>
      </c>
      <c r="AF16" s="3">
        <f t="shared" si="0"/>
        <v>0</v>
      </c>
      <c r="AG16" s="27">
        <f t="shared" ca="1" si="1"/>
        <v>0</v>
      </c>
      <c r="AH16" s="42">
        <f ca="1">SUMIF($Y$3:$Y$16,$Y$11,$AG$3:$AG$16)/$AF$17</f>
        <v>0</v>
      </c>
    </row>
    <row r="17" spans="1:34" x14ac:dyDescent="0.3">
      <c r="AE17" s="9" t="s">
        <v>31</v>
      </c>
      <c r="AF17" s="12">
        <f ca="1">INDIRECT("'"&amp;$A$45&amp;"'!"&amp;ADDRESS(17,32))+SUM(AF3:AF16)</f>
        <v>5000</v>
      </c>
      <c r="AG17" s="13"/>
      <c r="AH17" s="11"/>
    </row>
    <row r="18" spans="1:34" hidden="1" outlineLevel="1" x14ac:dyDescent="0.3">
      <c r="B18" s="22" t="str">
        <f>"Indicative yield : " &amp;G31</f>
        <v>Indicative yield : CB19207A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34" hidden="1" outlineLevel="1" x14ac:dyDescent="0.3">
      <c r="B19" s="5" t="s">
        <v>0</v>
      </c>
      <c r="C19" s="5" t="str">
        <f t="array" ref="C19:S19">TRANSPOSE($AE$3:$AE$16)</f>
        <v>SCB</v>
      </c>
      <c r="D19" s="5" t="str">
        <v>TMB</v>
      </c>
      <c r="E19" s="5" t="str">
        <v>BBL</v>
      </c>
      <c r="F19" s="5" t="str">
        <v>KBANK</v>
      </c>
      <c r="G19" s="5" t="str">
        <v>BNP</v>
      </c>
      <c r="H19" s="5" t="str">
        <v>KTB</v>
      </c>
      <c r="I19" s="5" t="str">
        <v>MUFG</v>
      </c>
      <c r="J19" s="5" t="str">
        <v>GSB</v>
      </c>
      <c r="K19" s="5" t="str">
        <v>ICBC</v>
      </c>
      <c r="L19" s="5" t="str">
        <v>CIMB</v>
      </c>
      <c r="M19" s="5" t="str">
        <v>SC</v>
      </c>
      <c r="N19" s="5" t="str">
        <v>CITI</v>
      </c>
      <c r="O19" s="5" t="str">
        <v>HSBC</v>
      </c>
      <c r="P19" s="5" t="str">
        <v>UOB</v>
      </c>
      <c r="Q19" s="5" t="e">
        <v>#N/A</v>
      </c>
      <c r="R19" s="5" t="e">
        <v>#N/A</v>
      </c>
      <c r="S19" s="5" t="e">
        <v>#N/A</v>
      </c>
      <c r="T19" s="16" t="s">
        <v>6</v>
      </c>
      <c r="U19" s="16" t="s">
        <v>7</v>
      </c>
      <c r="V19" s="16" t="s">
        <v>8</v>
      </c>
    </row>
    <row r="20" spans="1:34" hidden="1" outlineLevel="1" x14ac:dyDescent="0.3">
      <c r="B20" s="5" t="s">
        <v>1</v>
      </c>
      <c r="C20" s="8">
        <v>2.2000000000000002</v>
      </c>
      <c r="D20" s="8">
        <v>2.1</v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21">
        <f>MIN(C20:S20)</f>
        <v>2.1</v>
      </c>
      <c r="U20" s="21">
        <f>MAX(C20:S20)</f>
        <v>2.2000000000000002</v>
      </c>
      <c r="V20" s="21">
        <f>AVERAGE(C20:S20)</f>
        <v>2.1500000000000004</v>
      </c>
    </row>
    <row r="21" spans="1:34" hidden="1" outlineLevel="1" x14ac:dyDescent="0.3">
      <c r="B21" s="5" t="s">
        <v>2</v>
      </c>
      <c r="C21" s="8">
        <v>2.5</v>
      </c>
      <c r="D21" s="8"/>
      <c r="E21" s="8"/>
      <c r="F21" s="8">
        <v>2</v>
      </c>
      <c r="G21" s="8"/>
      <c r="H21" s="8"/>
      <c r="I21" s="8"/>
      <c r="J21" s="8"/>
      <c r="K21" s="8"/>
      <c r="L21" s="8">
        <v>1.5</v>
      </c>
      <c r="M21" s="8"/>
      <c r="N21" s="8"/>
      <c r="O21" s="8"/>
      <c r="P21" s="8"/>
      <c r="Q21" s="8"/>
      <c r="R21" s="8"/>
      <c r="S21" s="8"/>
      <c r="T21" s="21">
        <f>MIN(C21:S21)</f>
        <v>1.5</v>
      </c>
      <c r="U21" s="21">
        <f>MAX(C21:S21)</f>
        <v>2.5</v>
      </c>
      <c r="V21" s="21">
        <f>AVERAGE(C21:S21)</f>
        <v>2</v>
      </c>
      <c r="Y21" s="28"/>
      <c r="Z21" s="28"/>
    </row>
    <row r="22" spans="1:34" hidden="1" outlineLevel="1" x14ac:dyDescent="0.3">
      <c r="B22" s="5" t="s">
        <v>3</v>
      </c>
      <c r="C22" s="18">
        <v>2.12</v>
      </c>
      <c r="D22" s="18"/>
      <c r="E22" s="18"/>
      <c r="F22" s="18"/>
      <c r="G22" s="18"/>
      <c r="H22" s="18"/>
      <c r="I22" s="18">
        <v>3</v>
      </c>
      <c r="J22" s="18">
        <v>2.2999999999999998</v>
      </c>
      <c r="K22" s="18"/>
      <c r="L22" s="18"/>
      <c r="M22" s="18"/>
      <c r="N22" s="18"/>
      <c r="O22" s="18"/>
      <c r="P22" s="18"/>
      <c r="Q22" s="18"/>
      <c r="R22" s="18"/>
      <c r="S22" s="18"/>
      <c r="T22" s="21">
        <f>MIN(C22:S22)</f>
        <v>2.12</v>
      </c>
      <c r="U22" s="21">
        <f>MAX(C22:S22)</f>
        <v>3</v>
      </c>
      <c r="V22" s="21">
        <f>AVERAGE(C22:S22)</f>
        <v>2.4733333333333332</v>
      </c>
    </row>
    <row r="23" spans="1:34" hidden="1" outlineLevel="1" x14ac:dyDescent="0.3">
      <c r="B23" s="9" t="s">
        <v>8</v>
      </c>
      <c r="C23" s="1">
        <f>IFERROR(AVERAGE(C20:C22),"")</f>
        <v>2.2733333333333334</v>
      </c>
      <c r="D23" s="1">
        <f t="shared" ref="D23:S23" si="5">IFERROR(AVERAGE(D20:D22),"")</f>
        <v>2.1</v>
      </c>
      <c r="E23" s="1" t="str">
        <f t="shared" si="5"/>
        <v/>
      </c>
      <c r="F23" s="1">
        <f t="shared" si="5"/>
        <v>2</v>
      </c>
      <c r="G23" s="1" t="str">
        <f t="shared" si="5"/>
        <v/>
      </c>
      <c r="H23" s="1" t="str">
        <f t="shared" si="5"/>
        <v/>
      </c>
      <c r="I23" s="1">
        <f t="shared" si="5"/>
        <v>3</v>
      </c>
      <c r="J23" s="1">
        <f t="shared" si="5"/>
        <v>2.2999999999999998</v>
      </c>
      <c r="K23" s="1" t="str">
        <f t="shared" si="5"/>
        <v/>
      </c>
      <c r="L23" s="1">
        <f t="shared" si="5"/>
        <v>1.5</v>
      </c>
      <c r="M23" s="1" t="str">
        <f t="shared" si="5"/>
        <v/>
      </c>
      <c r="N23" s="1" t="str">
        <f t="shared" si="5"/>
        <v/>
      </c>
      <c r="O23" s="1" t="str">
        <f t="shared" si="5"/>
        <v/>
      </c>
      <c r="P23" s="1" t="str">
        <f t="shared" si="5"/>
        <v/>
      </c>
      <c r="Q23" s="1" t="str">
        <f t="shared" si="5"/>
        <v/>
      </c>
      <c r="R23" s="1" t="str">
        <f t="shared" si="5"/>
        <v/>
      </c>
      <c r="S23" s="1" t="str">
        <f t="shared" si="5"/>
        <v/>
      </c>
      <c r="T23" s="17">
        <f>MAX(T20:T22)</f>
        <v>2.12</v>
      </c>
      <c r="U23" s="17">
        <f t="shared" ref="U23:V23" si="6">MAX(U20:U22)</f>
        <v>3</v>
      </c>
      <c r="V23" s="17">
        <f t="shared" si="6"/>
        <v>2.4733333333333332</v>
      </c>
    </row>
    <row r="24" spans="1:34" hidden="1" outlineLevel="1" x14ac:dyDescent="0.3"/>
    <row r="25" spans="1:34" hidden="1" outlineLevel="1" x14ac:dyDescent="0.3"/>
    <row r="26" spans="1:34" hidden="1" outlineLevel="1" x14ac:dyDescent="0.3"/>
    <row r="27" spans="1:34" ht="17.399999999999999" customHeight="1" collapsed="1" x14ac:dyDescent="0.3">
      <c r="B27" s="4" t="str">
        <f>"Auction Simulation : "</f>
        <v xml:space="preserve">Auction Simulation : </v>
      </c>
      <c r="D27" s="29" t="str">
        <f>G29</f>
        <v>CB18N08B</v>
      </c>
      <c r="G27" s="4" t="s">
        <v>37</v>
      </c>
      <c r="N27" s="4" t="str">
        <f>"Auction Excute : " &amp; G29</f>
        <v>Auction Excute : CB18N08B</v>
      </c>
      <c r="R27" s="4" t="s">
        <v>33</v>
      </c>
      <c r="Y27" s="4" t="s">
        <v>55</v>
      </c>
    </row>
    <row r="28" spans="1:34" x14ac:dyDescent="0.3">
      <c r="B28" s="5" t="s">
        <v>30</v>
      </c>
      <c r="C28" s="5" t="s">
        <v>0</v>
      </c>
      <c r="D28" s="5" t="s">
        <v>4</v>
      </c>
      <c r="E28" s="5" t="s">
        <v>41</v>
      </c>
      <c r="G28" s="9" t="s">
        <v>42</v>
      </c>
      <c r="H28" s="9" t="s">
        <v>48</v>
      </c>
      <c r="I28" s="9" t="s">
        <v>31</v>
      </c>
      <c r="J28" s="9" t="s">
        <v>38</v>
      </c>
      <c r="K28" s="9" t="s">
        <v>39</v>
      </c>
      <c r="L28" s="9" t="s">
        <v>40</v>
      </c>
      <c r="N28" s="5" t="s">
        <v>0</v>
      </c>
      <c r="O28" s="5" t="s">
        <v>4</v>
      </c>
      <c r="P28" s="5" t="s">
        <v>41</v>
      </c>
      <c r="R28" s="5" t="s">
        <v>0</v>
      </c>
      <c r="S28" s="5" t="s">
        <v>4</v>
      </c>
      <c r="T28" s="5" t="s">
        <v>41</v>
      </c>
      <c r="Y28" t="s">
        <v>50</v>
      </c>
      <c r="Z28" s="15">
        <v>1</v>
      </c>
    </row>
    <row r="29" spans="1:34" x14ac:dyDescent="0.3">
      <c r="A29">
        <f>MATCH(C29,$A$3:$S$3,0)</f>
        <v>3</v>
      </c>
      <c r="B29" s="3">
        <f>INDEX($Z$3:$Z$16,MATCH(C29,$AE$3:$AE$16,0))</f>
        <v>1</v>
      </c>
      <c r="C29" s="1" t="str">
        <f t="array" ref="C29:C42">AE3:AE16</f>
        <v>SCB</v>
      </c>
      <c r="D29" s="19"/>
      <c r="E29" s="1"/>
      <c r="G29" s="14" t="s">
        <v>43</v>
      </c>
      <c r="H29" s="14"/>
      <c r="I29" s="14"/>
      <c r="J29" s="14"/>
      <c r="K29" s="14"/>
      <c r="L29" s="14"/>
      <c r="N29" s="8"/>
      <c r="O29" s="8"/>
      <c r="P29" s="3"/>
      <c r="R29" s="2">
        <f t="array" ref="R29:R37">N29:N37</f>
        <v>0</v>
      </c>
      <c r="S29" s="8"/>
      <c r="T29" s="3"/>
      <c r="Y29" t="s">
        <v>51</v>
      </c>
      <c r="Z29" s="15">
        <v>0.4</v>
      </c>
    </row>
    <row r="30" spans="1:34" x14ac:dyDescent="0.3">
      <c r="A30">
        <f>MATCH(C30,$A$3:$S$3,0)</f>
        <v>4</v>
      </c>
      <c r="B30" s="3">
        <f>INDEX($Z$3:$Z$16,MATCH(C30,$AE$3:$AE$16,0))</f>
        <v>2</v>
      </c>
      <c r="C30" s="1" t="str">
        <v>TMB</v>
      </c>
      <c r="D30" s="19"/>
      <c r="E30" s="1"/>
      <c r="G30" s="14" t="s">
        <v>44</v>
      </c>
      <c r="H30" s="14"/>
      <c r="I30" s="14"/>
      <c r="J30" s="14"/>
      <c r="K30" s="14"/>
      <c r="L30" s="14"/>
      <c r="N30" s="14"/>
      <c r="O30" s="14"/>
      <c r="P30" s="1"/>
      <c r="R30" s="2">
        <v>0</v>
      </c>
      <c r="S30" s="14"/>
      <c r="T30" s="1"/>
      <c r="Y30" t="s">
        <v>52</v>
      </c>
      <c r="Z30" s="15">
        <v>0.1</v>
      </c>
    </row>
    <row r="31" spans="1:34" x14ac:dyDescent="0.3">
      <c r="A31">
        <f>MATCH(C31,$A$3:$S$3,0)</f>
        <v>5</v>
      </c>
      <c r="B31" s="3">
        <f>INDEX($Z$3:$Z$16,MATCH(C31,$AE$3:$AE$16,0))</f>
        <v>3</v>
      </c>
      <c r="C31" s="1" t="str">
        <v>BBL</v>
      </c>
      <c r="D31" s="19"/>
      <c r="E31" s="1"/>
      <c r="G31" s="14" t="s">
        <v>45</v>
      </c>
      <c r="H31" s="14"/>
      <c r="I31" s="14"/>
      <c r="J31" s="14"/>
      <c r="K31" s="14"/>
      <c r="L31" s="14"/>
      <c r="N31" s="14"/>
      <c r="O31" s="14"/>
      <c r="P31" s="1"/>
      <c r="R31" s="2">
        <v>0</v>
      </c>
      <c r="S31" s="14"/>
      <c r="T31" s="1"/>
    </row>
    <row r="32" spans="1:34" x14ac:dyDescent="0.3">
      <c r="A32">
        <f>MATCH(C32,$A$3:$S$3,0)</f>
        <v>6</v>
      </c>
      <c r="B32" s="3">
        <f>INDEX($Z$3:$Z$16,MATCH(C32,$AE$3:$AE$16,0))</f>
        <v>4</v>
      </c>
      <c r="C32" s="1" t="str">
        <v>KBANK</v>
      </c>
      <c r="D32" s="19"/>
      <c r="E32" s="1"/>
      <c r="N32" s="14"/>
      <c r="O32" s="14"/>
      <c r="P32" s="1"/>
      <c r="R32" s="2">
        <v>0</v>
      </c>
      <c r="S32" s="14"/>
      <c r="T32" s="1"/>
    </row>
    <row r="33" spans="1:26" x14ac:dyDescent="0.3">
      <c r="A33">
        <f>MATCH(C33,$A$3:$S$3,0)</f>
        <v>7</v>
      </c>
      <c r="B33" s="3">
        <f>INDEX($Z$3:$Z$16,MATCH(C33,$AE$3:$AE$16,0))</f>
        <v>5</v>
      </c>
      <c r="C33" s="1" t="str">
        <v>BNP</v>
      </c>
      <c r="D33" s="19"/>
      <c r="E33" s="1"/>
      <c r="N33" s="14"/>
      <c r="O33" s="14"/>
      <c r="P33" s="1"/>
      <c r="R33" s="2">
        <v>0</v>
      </c>
      <c r="S33" s="14"/>
      <c r="T33" s="1"/>
      <c r="Z33" s="30"/>
    </row>
    <row r="34" spans="1:26" x14ac:dyDescent="0.3">
      <c r="A34">
        <f>MATCH(C34,$A$3:$S$3,0)</f>
        <v>8</v>
      </c>
      <c r="B34" s="3">
        <f>INDEX($Z$3:$Z$16,MATCH(C34,$AE$3:$AE$16,0))</f>
        <v>6</v>
      </c>
      <c r="C34" s="1" t="str">
        <v>KTB</v>
      </c>
      <c r="D34" s="19"/>
      <c r="E34" s="1"/>
      <c r="G34" s="4" t="s">
        <v>33</v>
      </c>
      <c r="J34" s="24" t="s">
        <v>41</v>
      </c>
      <c r="K34" s="25"/>
      <c r="L34" s="26"/>
      <c r="N34" s="14"/>
      <c r="O34" s="14"/>
      <c r="P34" s="1"/>
      <c r="R34" s="2">
        <v>0</v>
      </c>
      <c r="S34" s="14"/>
      <c r="T34" s="1"/>
    </row>
    <row r="35" spans="1:26" x14ac:dyDescent="0.3">
      <c r="A35">
        <f>MATCH(C35,$A$3:$S$3,0)</f>
        <v>9</v>
      </c>
      <c r="B35" s="3">
        <f>INDEX($Z$3:$Z$16,MATCH(C35,$AE$3:$AE$16,0))</f>
        <v>7</v>
      </c>
      <c r="C35" s="1" t="str">
        <v>MUFG</v>
      </c>
      <c r="D35" s="19"/>
      <c r="E35" s="1"/>
      <c r="G35" s="5" t="s">
        <v>42</v>
      </c>
      <c r="H35" s="23" t="s">
        <v>31</v>
      </c>
      <c r="I35" s="23" t="s">
        <v>36</v>
      </c>
      <c r="J35" s="5" t="s">
        <v>6</v>
      </c>
      <c r="K35" s="5" t="s">
        <v>7</v>
      </c>
      <c r="L35" s="5" t="s">
        <v>8</v>
      </c>
      <c r="N35" s="14"/>
      <c r="O35" s="14"/>
      <c r="P35" s="1"/>
      <c r="R35" s="2">
        <v>0</v>
      </c>
      <c r="S35" s="14"/>
      <c r="T35" s="1"/>
    </row>
    <row r="36" spans="1:26" x14ac:dyDescent="0.3">
      <c r="A36">
        <f>MATCH(C36,$A$3:$S$3,0)</f>
        <v>10</v>
      </c>
      <c r="B36" s="3">
        <f>INDEX($Z$3:$Z$16,MATCH(C36,$AE$3:$AE$16,0))</f>
        <v>8</v>
      </c>
      <c r="C36" s="1" t="str">
        <v>GSB</v>
      </c>
      <c r="D36" s="19"/>
      <c r="E36" s="1"/>
      <c r="G36" s="1" t="str">
        <f>G29</f>
        <v>CB18N08B</v>
      </c>
      <c r="H36" s="20"/>
      <c r="I36" s="20"/>
      <c r="J36" s="20"/>
      <c r="K36" s="20"/>
      <c r="L36" s="20"/>
      <c r="N36" s="14"/>
      <c r="O36" s="14"/>
      <c r="P36" s="1"/>
      <c r="R36" s="2">
        <v>0</v>
      </c>
      <c r="S36" s="14"/>
      <c r="T36" s="1"/>
    </row>
    <row r="37" spans="1:26" x14ac:dyDescent="0.3">
      <c r="A37">
        <f>MATCH(C37,$A$3:$S$3,0)</f>
        <v>11</v>
      </c>
      <c r="B37" s="3">
        <f>INDEX($Z$3:$Z$16,MATCH(C37,$AE$3:$AE$16,0))</f>
        <v>9</v>
      </c>
      <c r="C37" s="1" t="str">
        <v>ICBC</v>
      </c>
      <c r="D37" s="19"/>
      <c r="E37" s="1"/>
      <c r="G37" s="1" t="str">
        <f t="shared" ref="G37:G38" si="7">G30</f>
        <v>CB19606A</v>
      </c>
      <c r="H37" s="20"/>
      <c r="I37" s="20"/>
      <c r="J37" s="20"/>
      <c r="K37" s="20"/>
      <c r="L37" s="20"/>
      <c r="N37" s="14"/>
      <c r="O37" s="14"/>
      <c r="P37" s="1"/>
      <c r="R37" s="2">
        <v>0</v>
      </c>
      <c r="S37" s="14"/>
      <c r="T37" s="1"/>
    </row>
    <row r="38" spans="1:26" ht="15" thickBot="1" x14ac:dyDescent="0.35">
      <c r="A38">
        <f>MATCH(C38,$A$3:$S$3,0)</f>
        <v>12</v>
      </c>
      <c r="B38" s="3">
        <f>INDEX($Z$3:$Z$16,MATCH(C38,$AE$3:$AE$16,0))</f>
        <v>10</v>
      </c>
      <c r="C38" s="1" t="str">
        <v>CIMB</v>
      </c>
      <c r="D38" s="19"/>
      <c r="E38" s="1"/>
      <c r="G38" s="1" t="str">
        <f t="shared" si="7"/>
        <v>CB19207A</v>
      </c>
      <c r="H38" s="20"/>
      <c r="I38" s="20"/>
      <c r="J38" s="20"/>
      <c r="K38" s="20"/>
      <c r="L38" s="20"/>
      <c r="O38" s="7"/>
      <c r="P38" s="7"/>
      <c r="S38" s="7"/>
      <c r="T38" s="7"/>
    </row>
    <row r="39" spans="1:26" ht="15" thickTop="1" x14ac:dyDescent="0.3">
      <c r="A39">
        <f>MATCH(C39,$A$3:$S$3,0)</f>
        <v>13</v>
      </c>
      <c r="B39" s="3">
        <f>INDEX($Z$3:$Z$16,MATCH(C39,$AE$3:$AE$16,0))</f>
        <v>11</v>
      </c>
      <c r="C39" s="1" t="str">
        <v>SC</v>
      </c>
      <c r="D39" s="19"/>
      <c r="E39" s="1"/>
    </row>
    <row r="40" spans="1:26" x14ac:dyDescent="0.3">
      <c r="A40">
        <f>MATCH(C40,$A$3:$S$3,0)</f>
        <v>14</v>
      </c>
      <c r="B40" s="3">
        <f>INDEX($Z$3:$Z$16,MATCH(C40,$AE$3:$AE$16,0))</f>
        <v>12</v>
      </c>
      <c r="C40" s="1" t="str">
        <v>CITI</v>
      </c>
      <c r="D40" s="19"/>
      <c r="E40" s="1"/>
      <c r="G40" s="4"/>
      <c r="N40" s="4" t="str">
        <f>"Auction Excute : " &amp;G30</f>
        <v>Auction Excute : CB19606A</v>
      </c>
      <c r="R40" s="4" t="s">
        <v>33</v>
      </c>
    </row>
    <row r="41" spans="1:26" x14ac:dyDescent="0.3">
      <c r="A41">
        <f>MATCH(C41,$A$3:$S$3,0)</f>
        <v>15</v>
      </c>
      <c r="B41" s="3">
        <f>INDEX($Z$3:$Z$16,MATCH(C41,$AE$3:$AE$16,0))</f>
        <v>13</v>
      </c>
      <c r="C41" s="1" t="str">
        <v>HSBC</v>
      </c>
      <c r="D41" s="19"/>
      <c r="E41" s="1"/>
      <c r="N41" s="5" t="s">
        <v>0</v>
      </c>
      <c r="O41" s="5" t="s">
        <v>4</v>
      </c>
      <c r="P41" s="5" t="s">
        <v>41</v>
      </c>
      <c r="R41" s="5" t="s">
        <v>0</v>
      </c>
      <c r="S41" s="5" t="s">
        <v>4</v>
      </c>
      <c r="T41" s="5" t="s">
        <v>41</v>
      </c>
    </row>
    <row r="42" spans="1:26" x14ac:dyDescent="0.3">
      <c r="A42">
        <f>MATCH(C42,$A$3:$S$3,0)</f>
        <v>16</v>
      </c>
      <c r="B42" s="3">
        <f>INDEX($Z$3:$Z$16,MATCH(C42,$AE$3:$AE$16,0))</f>
        <v>14</v>
      </c>
      <c r="C42" s="1" t="str">
        <v>UOB</v>
      </c>
      <c r="D42" s="19"/>
      <c r="E42" s="1"/>
      <c r="N42" s="3"/>
      <c r="O42" s="3"/>
      <c r="P42" s="3"/>
      <c r="R42" s="2">
        <f t="array" ref="R42:R50">N42:N50</f>
        <v>0</v>
      </c>
      <c r="S42" s="3"/>
      <c r="T42" s="3"/>
    </row>
    <row r="43" spans="1:26" x14ac:dyDescent="0.3">
      <c r="N43" s="1"/>
      <c r="O43" s="1"/>
      <c r="P43" s="1"/>
      <c r="R43" s="2">
        <v>0</v>
      </c>
      <c r="S43" s="1"/>
      <c r="T43" s="1"/>
    </row>
    <row r="44" spans="1:26" x14ac:dyDescent="0.3">
      <c r="N44" s="1"/>
      <c r="O44" s="1"/>
      <c r="P44" s="1"/>
      <c r="R44" s="2">
        <v>0</v>
      </c>
      <c r="S44" s="1"/>
      <c r="T44" s="1"/>
    </row>
    <row r="45" spans="1:26" x14ac:dyDescent="0.3">
      <c r="A45" t="s">
        <v>53</v>
      </c>
      <c r="B45" s="4" t="s">
        <v>9</v>
      </c>
      <c r="C45" t="s">
        <v>10</v>
      </c>
      <c r="N45" s="1"/>
      <c r="O45" s="1"/>
      <c r="P45" s="1"/>
      <c r="R45" s="2">
        <v>0</v>
      </c>
      <c r="S45" s="1"/>
      <c r="T45" s="1"/>
    </row>
    <row r="46" spans="1:26" x14ac:dyDescent="0.3">
      <c r="C46" t="s">
        <v>11</v>
      </c>
      <c r="N46" s="1"/>
      <c r="O46" s="1"/>
      <c r="P46" s="1"/>
      <c r="R46" s="2">
        <v>0</v>
      </c>
      <c r="S46" s="1"/>
      <c r="T46" s="1"/>
    </row>
    <row r="47" spans="1:26" x14ac:dyDescent="0.3">
      <c r="D47" t="s">
        <v>12</v>
      </c>
      <c r="N47" s="1"/>
      <c r="O47" s="1"/>
      <c r="P47" s="1"/>
      <c r="R47" s="2">
        <v>0</v>
      </c>
      <c r="S47" s="1"/>
      <c r="T47" s="1"/>
    </row>
    <row r="48" spans="1:26" x14ac:dyDescent="0.3">
      <c r="D48" t="s">
        <v>13</v>
      </c>
      <c r="N48" s="1"/>
      <c r="O48" s="1"/>
      <c r="P48" s="1"/>
      <c r="R48" s="2">
        <v>0</v>
      </c>
      <c r="S48" s="1"/>
      <c r="T48" s="1"/>
    </row>
    <row r="49" spans="3:20" x14ac:dyDescent="0.3">
      <c r="D49" t="s">
        <v>14</v>
      </c>
      <c r="N49" s="1"/>
      <c r="O49" s="1"/>
      <c r="P49" s="1"/>
      <c r="R49" s="2">
        <v>0</v>
      </c>
      <c r="S49" s="1"/>
      <c r="T49" s="1"/>
    </row>
    <row r="50" spans="3:20" x14ac:dyDescent="0.3">
      <c r="C50" t="s">
        <v>15</v>
      </c>
      <c r="N50" s="1"/>
      <c r="O50" s="1"/>
      <c r="P50" s="1"/>
      <c r="R50" s="2">
        <v>0</v>
      </c>
      <c r="S50" s="1"/>
      <c r="T50" s="1"/>
    </row>
    <row r="51" spans="3:20" ht="15" thickBot="1" x14ac:dyDescent="0.35">
      <c r="O51" s="7"/>
      <c r="P51" s="7"/>
      <c r="S51" s="7"/>
      <c r="T51" s="7"/>
    </row>
    <row r="52" spans="3:20" ht="15" thickTop="1" x14ac:dyDescent="0.3"/>
  </sheetData>
  <mergeCells count="4">
    <mergeCell ref="B2:V2"/>
    <mergeCell ref="B9:V9"/>
    <mergeCell ref="B18:V18"/>
    <mergeCell ref="J34:L34"/>
  </mergeCells>
  <conditionalFormatting sqref="C7:S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:S1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S2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Z21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Y3:Y16">
    <cfRule type="cellIs" dxfId="13" priority="7" operator="equal">
      <formula>1</formula>
    </cfRule>
  </conditionalFormatting>
  <conditionalFormatting sqref="AH10">
    <cfRule type="cellIs" dxfId="12" priority="5" operator="greaterThan">
      <formula>0.4</formula>
    </cfRule>
    <cfRule type="cellIs" dxfId="11" priority="6" operator="lessThan">
      <formula>0.5</formula>
    </cfRule>
  </conditionalFormatting>
  <conditionalFormatting sqref="AH16">
    <cfRule type="cellIs" dxfId="10" priority="3" operator="greaterThan">
      <formula>0.4</formula>
    </cfRule>
    <cfRule type="cellIs" dxfId="9" priority="4" operator="lessThan">
      <formula>0.5</formula>
    </cfRule>
  </conditionalFormatting>
  <conditionalFormatting sqref="AH5">
    <cfRule type="cellIs" dxfId="8" priority="1" operator="greaterThan">
      <formula>0.9</formula>
    </cfRule>
    <cfRule type="cellIs" dxfId="7" priority="2" operator="lessThan">
      <formula>0.9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D39C69D1-44F4-45C0-B2A8-45A4768B5BEE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AD3:AD16</xm:sqref>
        </x14:conditionalFormatting>
        <x14:conditionalFormatting xmlns:xm="http://schemas.microsoft.com/office/excel/2006/main">
          <x14:cfRule type="iconSet" priority="9" id="{754B1AB3-09CD-431F-B2A5-4D5E12D401D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AA3:AC16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B8965-96EE-475C-8CA1-8E96C5F3372B}">
  <sheetPr codeName="Sheet4"/>
  <dimension ref="A1:AJ52"/>
  <sheetViews>
    <sheetView topLeftCell="B1" workbookViewId="0">
      <selection activeCell="Y41" sqref="Y41"/>
    </sheetView>
  </sheetViews>
  <sheetFormatPr defaultRowHeight="14.4" outlineLevelRow="1" x14ac:dyDescent="0.3"/>
  <cols>
    <col min="1" max="1" width="8.88671875" hidden="1" customWidth="1"/>
    <col min="2" max="2" width="9.5546875" customWidth="1"/>
    <col min="3" max="3" width="9.88671875" customWidth="1"/>
    <col min="4" max="4" width="13.109375" customWidth="1"/>
    <col min="5" max="5" width="12" customWidth="1"/>
    <col min="7" max="7" width="9.77734375" customWidth="1"/>
    <col min="8" max="8" width="10.77734375" customWidth="1"/>
    <col min="20" max="20" width="10.109375" customWidth="1"/>
    <col min="24" max="24" width="4.44140625" customWidth="1"/>
    <col min="26" max="26" width="9.44140625" bestFit="1" customWidth="1"/>
    <col min="32" max="32" width="13.44140625" customWidth="1"/>
    <col min="33" max="33" width="15.109375" customWidth="1"/>
    <col min="34" max="34" width="9.6640625" customWidth="1"/>
  </cols>
  <sheetData>
    <row r="1" spans="2:36" x14ac:dyDescent="0.3">
      <c r="B1" s="4" t="s">
        <v>32</v>
      </c>
      <c r="Y1" s="4" t="s">
        <v>54</v>
      </c>
    </row>
    <row r="2" spans="2:36" ht="16.2" customHeight="1" x14ac:dyDescent="0.3">
      <c r="B2" s="22" t="str">
        <f>"Indicative yield : " &amp;G29</f>
        <v>Indicative yield : CB18N08B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Y2" s="5" t="s">
        <v>5</v>
      </c>
      <c r="Z2" s="5" t="s">
        <v>30</v>
      </c>
      <c r="AA2" s="5" t="s">
        <v>38</v>
      </c>
      <c r="AB2" s="5" t="s">
        <v>39</v>
      </c>
      <c r="AC2" s="5" t="s">
        <v>40</v>
      </c>
      <c r="AD2" s="5" t="s">
        <v>46</v>
      </c>
      <c r="AE2" s="5" t="s">
        <v>0</v>
      </c>
      <c r="AF2" s="5" t="s">
        <v>35</v>
      </c>
      <c r="AG2" s="5" t="s">
        <v>34</v>
      </c>
      <c r="AH2" s="5" t="s">
        <v>56</v>
      </c>
    </row>
    <row r="3" spans="2:36" x14ac:dyDescent="0.3">
      <c r="B3" s="5" t="s">
        <v>0</v>
      </c>
      <c r="C3" s="5" t="str">
        <f t="array" ref="C3:S3">TRANSPOSE($AE$3:$AE$16)</f>
        <v>SCB</v>
      </c>
      <c r="D3" s="5" t="str">
        <v>TMB</v>
      </c>
      <c r="E3" s="5" t="str">
        <v>BBL</v>
      </c>
      <c r="F3" s="5" t="str">
        <v>KBANK</v>
      </c>
      <c r="G3" s="5" t="str">
        <v>BNP</v>
      </c>
      <c r="H3" s="5" t="str">
        <v>KTB</v>
      </c>
      <c r="I3" s="5" t="str">
        <v>MUFG</v>
      </c>
      <c r="J3" s="5" t="str">
        <v>GSB</v>
      </c>
      <c r="K3" s="5" t="str">
        <v>ICBC</v>
      </c>
      <c r="L3" s="5" t="str">
        <v>CIMB</v>
      </c>
      <c r="M3" s="5" t="str">
        <v>SC</v>
      </c>
      <c r="N3" s="5" t="str">
        <v>CITI</v>
      </c>
      <c r="O3" s="5" t="str">
        <v>HSBC</v>
      </c>
      <c r="P3" s="5" t="str">
        <v>UOB</v>
      </c>
      <c r="Q3" s="5" t="e">
        <v>#N/A</v>
      </c>
      <c r="R3" s="5" t="e">
        <v>#N/A</v>
      </c>
      <c r="S3" s="5" t="e">
        <v>#N/A</v>
      </c>
      <c r="T3" s="16" t="s">
        <v>6</v>
      </c>
      <c r="U3" s="16" t="s">
        <v>7</v>
      </c>
      <c r="V3" s="16" t="s">
        <v>8</v>
      </c>
      <c r="Y3" s="3">
        <v>1</v>
      </c>
      <c r="Z3" s="6">
        <v>1</v>
      </c>
      <c r="AA3" s="6">
        <v>1</v>
      </c>
      <c r="AB3" s="6">
        <v>1</v>
      </c>
      <c r="AC3" s="6">
        <v>0</v>
      </c>
      <c r="AD3" s="6">
        <f ca="1">IF(SUM(OFFSET(INDIRECT(ADDRESS(3,$A29)),1,0,3)) &gt; 0,1,0)</f>
        <v>1</v>
      </c>
      <c r="AE3" s="43" t="s">
        <v>16</v>
      </c>
      <c r="AF3" s="3">
        <f>SUMIF($R$29:$R$51,AE3,$S$29:$S$51)</f>
        <v>0</v>
      </c>
      <c r="AG3" s="10">
        <f ca="1">INDIRECT("'"&amp;$A$45&amp;"'!"&amp;ADDRESS(A29,33))+AF3</f>
        <v>5000</v>
      </c>
      <c r="AH3" s="40"/>
      <c r="AJ3" s="4"/>
    </row>
    <row r="4" spans="2:36" x14ac:dyDescent="0.3">
      <c r="B4" s="5" t="s">
        <v>1</v>
      </c>
      <c r="C4" s="8">
        <v>2.2000000000000002</v>
      </c>
      <c r="D4" s="8">
        <v>2.1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21">
        <f>MIN(C4:S4)</f>
        <v>2.1</v>
      </c>
      <c r="U4" s="21">
        <f>MAX(C4:S4)</f>
        <v>2.2000000000000002</v>
      </c>
      <c r="V4" s="21">
        <f>AVERAGE(C4:S4)</f>
        <v>2.1500000000000004</v>
      </c>
      <c r="Y4" s="3">
        <v>1</v>
      </c>
      <c r="Z4" s="6">
        <v>2</v>
      </c>
      <c r="AA4" s="6">
        <v>1</v>
      </c>
      <c r="AB4" s="6">
        <v>1</v>
      </c>
      <c r="AC4" s="6">
        <v>0</v>
      </c>
      <c r="AD4" s="6">
        <f ca="1">IF(SUM(OFFSET(INDIRECT(ADDRESS(3,$A30)),1,0,3)) &gt; 0,1,0)</f>
        <v>1</v>
      </c>
      <c r="AE4" s="43" t="s">
        <v>17</v>
      </c>
      <c r="AF4" s="3">
        <f t="shared" ref="AF4:AF16" si="0">SUMIF($R$29:$R$51,AE4,$S$29:$S$51)</f>
        <v>0</v>
      </c>
      <c r="AG4" s="10">
        <f t="shared" ref="AG4:AG16" ca="1" si="1">INDIRECT("'"&amp;$A$45&amp;"'!"&amp;ADDRESS(A30,33))+AF4</f>
        <v>0</v>
      </c>
      <c r="AH4" s="41"/>
    </row>
    <row r="5" spans="2:36" x14ac:dyDescent="0.3">
      <c r="B5" s="5" t="s">
        <v>2</v>
      </c>
      <c r="C5" s="8">
        <v>2.5</v>
      </c>
      <c r="D5" s="8"/>
      <c r="E5" s="8"/>
      <c r="F5" s="8">
        <v>2</v>
      </c>
      <c r="G5" s="8"/>
      <c r="H5" s="8"/>
      <c r="I5" s="8"/>
      <c r="J5" s="8"/>
      <c r="K5" s="8"/>
      <c r="L5" s="8">
        <v>1.5</v>
      </c>
      <c r="M5" s="8"/>
      <c r="N5" s="8"/>
      <c r="O5" s="8"/>
      <c r="P5" s="8"/>
      <c r="Q5" s="8"/>
      <c r="R5" s="8"/>
      <c r="S5" s="8"/>
      <c r="T5" s="21">
        <f>MIN(C5:S5)</f>
        <v>1.5</v>
      </c>
      <c r="U5" s="21">
        <f>MAX(C5:S5)</f>
        <v>2.5</v>
      </c>
      <c r="V5" s="21">
        <f>AVERAGE(C5:S5)</f>
        <v>2</v>
      </c>
      <c r="Y5" s="3">
        <v>1</v>
      </c>
      <c r="Z5" s="6">
        <v>3</v>
      </c>
      <c r="AA5" s="6">
        <v>1</v>
      </c>
      <c r="AB5" s="6">
        <v>1</v>
      </c>
      <c r="AC5" s="6">
        <v>1</v>
      </c>
      <c r="AD5" s="6">
        <f ca="1">IF(SUM(OFFSET(INDIRECT(ADDRESS(3,$A31)),1,0,3)) &gt; 0,1,0)</f>
        <v>0</v>
      </c>
      <c r="AE5" s="43" t="s">
        <v>18</v>
      </c>
      <c r="AF5" s="3">
        <f t="shared" si="0"/>
        <v>0</v>
      </c>
      <c r="AG5" s="27">
        <f t="shared" ca="1" si="1"/>
        <v>0</v>
      </c>
      <c r="AH5" s="42">
        <f ca="1">SUMIF($Y$3:$Y$16,$Y$3,$AG$3:$AG$16)/$AF$17</f>
        <v>1</v>
      </c>
    </row>
    <row r="6" spans="2:36" x14ac:dyDescent="0.3">
      <c r="B6" s="5" t="s">
        <v>3</v>
      </c>
      <c r="C6" s="18">
        <v>2.12</v>
      </c>
      <c r="D6" s="18"/>
      <c r="E6" s="18"/>
      <c r="F6" s="18"/>
      <c r="G6" s="18"/>
      <c r="H6" s="18"/>
      <c r="I6" s="18">
        <v>3</v>
      </c>
      <c r="J6" s="18">
        <v>2.2999999999999998</v>
      </c>
      <c r="K6" s="18"/>
      <c r="L6" s="18"/>
      <c r="M6" s="18"/>
      <c r="N6" s="18"/>
      <c r="O6" s="18"/>
      <c r="P6" s="18"/>
      <c r="Q6" s="18"/>
      <c r="R6" s="18"/>
      <c r="S6" s="18"/>
      <c r="T6" s="21">
        <f>MIN(C6:S6)</f>
        <v>2.12</v>
      </c>
      <c r="U6" s="21">
        <f>MAX(C6:S6)</f>
        <v>3</v>
      </c>
      <c r="V6" s="21">
        <f>AVERAGE(C6:S6)</f>
        <v>2.4733333333333332</v>
      </c>
      <c r="Y6" s="32">
        <v>2</v>
      </c>
      <c r="Z6" s="33">
        <v>4</v>
      </c>
      <c r="AA6" s="33">
        <v>1</v>
      </c>
      <c r="AB6" s="33">
        <v>1</v>
      </c>
      <c r="AC6" s="33">
        <v>1</v>
      </c>
      <c r="AD6" s="33">
        <f ca="1">IF(SUM(OFFSET(INDIRECT(ADDRESS(3,$A32)),1,0,3)) &gt; 0,1,0)</f>
        <v>1</v>
      </c>
      <c r="AE6" s="43" t="s">
        <v>19</v>
      </c>
      <c r="AF6" s="3">
        <f t="shared" si="0"/>
        <v>0</v>
      </c>
      <c r="AG6" s="10">
        <f t="shared" ca="1" si="1"/>
        <v>0</v>
      </c>
      <c r="AH6" s="41"/>
    </row>
    <row r="7" spans="2:36" x14ac:dyDescent="0.3">
      <c r="B7" s="9" t="s">
        <v>8</v>
      </c>
      <c r="C7" s="1">
        <f>IFERROR(AVERAGE(C4:C6),"")</f>
        <v>2.2733333333333334</v>
      </c>
      <c r="D7" s="1">
        <f t="shared" ref="D7:S7" si="2">IFERROR(AVERAGE(D4:D6),"")</f>
        <v>2.1</v>
      </c>
      <c r="E7" s="1" t="str">
        <f t="shared" si="2"/>
        <v/>
      </c>
      <c r="F7" s="1">
        <f t="shared" si="2"/>
        <v>2</v>
      </c>
      <c r="G7" s="1" t="str">
        <f t="shared" si="2"/>
        <v/>
      </c>
      <c r="H7" s="1" t="str">
        <f t="shared" si="2"/>
        <v/>
      </c>
      <c r="I7" s="1">
        <f t="shared" si="2"/>
        <v>3</v>
      </c>
      <c r="J7" s="1">
        <f t="shared" si="2"/>
        <v>2.2999999999999998</v>
      </c>
      <c r="K7" s="1" t="str">
        <f t="shared" si="2"/>
        <v/>
      </c>
      <c r="L7" s="1">
        <f t="shared" si="2"/>
        <v>1.5</v>
      </c>
      <c r="M7" s="1" t="str">
        <f t="shared" si="2"/>
        <v/>
      </c>
      <c r="N7" s="1" t="str">
        <f t="shared" si="2"/>
        <v/>
      </c>
      <c r="O7" s="1" t="str">
        <f t="shared" si="2"/>
        <v/>
      </c>
      <c r="P7" s="1" t="str">
        <f t="shared" si="2"/>
        <v/>
      </c>
      <c r="Q7" s="1" t="str">
        <f t="shared" si="2"/>
        <v/>
      </c>
      <c r="R7" s="1" t="str">
        <f t="shared" si="2"/>
        <v/>
      </c>
      <c r="S7" s="1" t="str">
        <f t="shared" si="2"/>
        <v/>
      </c>
      <c r="T7" s="17">
        <f>MAX(T4:T6)</f>
        <v>2.12</v>
      </c>
      <c r="U7" s="17">
        <f>MAX(U4:U6)</f>
        <v>3</v>
      </c>
      <c r="V7" s="17">
        <f>MAX(V4:V6)</f>
        <v>2.4733333333333332</v>
      </c>
      <c r="Y7" s="3">
        <v>2</v>
      </c>
      <c r="Z7" s="6">
        <v>5</v>
      </c>
      <c r="AA7" s="6">
        <v>1</v>
      </c>
      <c r="AB7" s="6">
        <v>1</v>
      </c>
      <c r="AC7" s="6">
        <v>0</v>
      </c>
      <c r="AD7" s="6">
        <f ca="1">IF(SUM(OFFSET(INDIRECT(ADDRESS(3,$A33)),1,0,3)) &gt; 0,1,0)</f>
        <v>0</v>
      </c>
      <c r="AE7" s="43" t="s">
        <v>20</v>
      </c>
      <c r="AF7" s="3">
        <f t="shared" si="0"/>
        <v>0</v>
      </c>
      <c r="AG7" s="10">
        <f t="shared" ca="1" si="1"/>
        <v>0</v>
      </c>
      <c r="AH7" s="41"/>
    </row>
    <row r="8" spans="2:36" x14ac:dyDescent="0.3">
      <c r="Y8" s="3">
        <v>2</v>
      </c>
      <c r="Z8" s="6">
        <v>6</v>
      </c>
      <c r="AA8" s="6">
        <v>1</v>
      </c>
      <c r="AB8" s="6">
        <v>1</v>
      </c>
      <c r="AC8" s="6">
        <v>0</v>
      </c>
      <c r="AD8" s="6">
        <f ca="1">IF(SUM(OFFSET(INDIRECT(ADDRESS(3,$A34)),1,0,3)) &gt; 0,1,0)</f>
        <v>0</v>
      </c>
      <c r="AE8" s="43" t="s">
        <v>21</v>
      </c>
      <c r="AF8" s="3">
        <f t="shared" si="0"/>
        <v>0</v>
      </c>
      <c r="AG8" s="10">
        <f t="shared" ca="1" si="1"/>
        <v>0</v>
      </c>
      <c r="AH8" s="41"/>
    </row>
    <row r="9" spans="2:36" x14ac:dyDescent="0.3">
      <c r="B9" s="22" t="str">
        <f>"Indicative yield : " &amp;G30</f>
        <v>Indicative yield : CB19606A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Y9" s="3">
        <v>2</v>
      </c>
      <c r="Z9" s="6">
        <v>7</v>
      </c>
      <c r="AA9" s="6">
        <v>1</v>
      </c>
      <c r="AB9" s="6">
        <v>1</v>
      </c>
      <c r="AC9" s="6">
        <v>0</v>
      </c>
      <c r="AD9" s="6">
        <f ca="1">IF(SUM(OFFSET(INDIRECT(ADDRESS(3,$A35)),1,0,3)) &gt; 0,1,0)</f>
        <v>1</v>
      </c>
      <c r="AE9" s="43" t="s">
        <v>22</v>
      </c>
      <c r="AF9" s="3">
        <f t="shared" si="0"/>
        <v>0</v>
      </c>
      <c r="AG9" s="10">
        <f t="shared" ca="1" si="1"/>
        <v>0</v>
      </c>
      <c r="AH9" s="41"/>
    </row>
    <row r="10" spans="2:36" x14ac:dyDescent="0.3">
      <c r="B10" s="5" t="s">
        <v>0</v>
      </c>
      <c r="C10" s="5" t="str">
        <f t="array" ref="C10:S10">TRANSPOSE($AE$3:$AE$16)</f>
        <v>SCB</v>
      </c>
      <c r="D10" s="5" t="str">
        <v>TMB</v>
      </c>
      <c r="E10" s="5" t="str">
        <v>BBL</v>
      </c>
      <c r="F10" s="5" t="str">
        <v>KBANK</v>
      </c>
      <c r="G10" s="5" t="str">
        <v>BNP</v>
      </c>
      <c r="H10" s="5" t="str">
        <v>KTB</v>
      </c>
      <c r="I10" s="5" t="str">
        <v>MUFG</v>
      </c>
      <c r="J10" s="5" t="str">
        <v>GSB</v>
      </c>
      <c r="K10" s="5" t="str">
        <v>ICBC</v>
      </c>
      <c r="L10" s="5" t="str">
        <v>CIMB</v>
      </c>
      <c r="M10" s="5" t="str">
        <v>SC</v>
      </c>
      <c r="N10" s="5" t="str">
        <v>CITI</v>
      </c>
      <c r="O10" s="5" t="str">
        <v>HSBC</v>
      </c>
      <c r="P10" s="5" t="str">
        <v>UOB</v>
      </c>
      <c r="Q10" s="5" t="e">
        <v>#N/A</v>
      </c>
      <c r="R10" s="5" t="e">
        <v>#N/A</v>
      </c>
      <c r="S10" s="5" t="e">
        <v>#N/A</v>
      </c>
      <c r="T10" s="16" t="s">
        <v>6</v>
      </c>
      <c r="U10" s="16" t="s">
        <v>7</v>
      </c>
      <c r="V10" s="16" t="s">
        <v>8</v>
      </c>
      <c r="Y10" s="32">
        <v>2</v>
      </c>
      <c r="Z10" s="33">
        <v>8</v>
      </c>
      <c r="AA10" s="33">
        <v>1</v>
      </c>
      <c r="AB10" s="33">
        <v>1</v>
      </c>
      <c r="AC10" s="33">
        <v>0</v>
      </c>
      <c r="AD10" s="33">
        <f ca="1">IF(SUM(OFFSET(INDIRECT(ADDRESS(3,$A36)),1,0,3)) &gt; 0,1,0)</f>
        <v>1</v>
      </c>
      <c r="AE10" s="43" t="s">
        <v>23</v>
      </c>
      <c r="AF10" s="3">
        <f t="shared" si="0"/>
        <v>0</v>
      </c>
      <c r="AG10" s="34">
        <f t="shared" ca="1" si="1"/>
        <v>0</v>
      </c>
      <c r="AH10" s="42">
        <f ca="1">SUMIF($Y$3:$Y$16,$Y$6,$AG$3:$AG$16)/$AF$17</f>
        <v>0</v>
      </c>
    </row>
    <row r="11" spans="2:36" x14ac:dyDescent="0.3">
      <c r="B11" s="5" t="s">
        <v>1</v>
      </c>
      <c r="C11" s="8">
        <v>2.2000000000000002</v>
      </c>
      <c r="D11" s="8">
        <v>2.1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21">
        <f>MIN(C11:S11)</f>
        <v>2.1</v>
      </c>
      <c r="U11" s="21">
        <f>MAX(C11:S11)</f>
        <v>2.2000000000000002</v>
      </c>
      <c r="V11" s="21">
        <f>AVERAGE(C11:S11)</f>
        <v>2.1500000000000004</v>
      </c>
      <c r="Y11" s="3">
        <v>3</v>
      </c>
      <c r="Z11" s="6">
        <v>9</v>
      </c>
      <c r="AA11" s="6">
        <v>1</v>
      </c>
      <c r="AB11" s="6">
        <v>1</v>
      </c>
      <c r="AC11" s="6">
        <v>0</v>
      </c>
      <c r="AD11" s="6">
        <f ca="1">IF(SUM(OFFSET(INDIRECT(ADDRESS(3,$A37)),1,0,3)) &gt; 0,1,0)</f>
        <v>0</v>
      </c>
      <c r="AE11" s="43" t="s">
        <v>24</v>
      </c>
      <c r="AF11" s="3">
        <f t="shared" si="0"/>
        <v>0</v>
      </c>
      <c r="AG11" s="10">
        <f t="shared" ca="1" si="1"/>
        <v>0</v>
      </c>
      <c r="AH11" s="41"/>
    </row>
    <row r="12" spans="2:36" x14ac:dyDescent="0.3">
      <c r="B12" s="5" t="s">
        <v>2</v>
      </c>
      <c r="C12" s="8">
        <v>2.5</v>
      </c>
      <c r="D12" s="8"/>
      <c r="E12" s="8"/>
      <c r="F12" s="8">
        <v>2</v>
      </c>
      <c r="G12" s="8"/>
      <c r="H12" s="8"/>
      <c r="I12" s="8"/>
      <c r="J12" s="8"/>
      <c r="K12" s="8"/>
      <c r="L12" s="8">
        <v>1.5</v>
      </c>
      <c r="M12" s="8"/>
      <c r="N12" s="8"/>
      <c r="O12" s="8"/>
      <c r="P12" s="8"/>
      <c r="Q12" s="8"/>
      <c r="R12" s="8"/>
      <c r="S12" s="8"/>
      <c r="T12" s="21">
        <f>MIN(C12:S12)</f>
        <v>1.5</v>
      </c>
      <c r="U12" s="21">
        <f>MAX(C12:S12)</f>
        <v>2.5</v>
      </c>
      <c r="V12" s="21">
        <f>AVERAGE(C12:S12)</f>
        <v>2</v>
      </c>
      <c r="Y12" s="3">
        <v>3</v>
      </c>
      <c r="Z12" s="6">
        <v>10</v>
      </c>
      <c r="AA12" s="6">
        <v>1</v>
      </c>
      <c r="AB12" s="6">
        <v>1</v>
      </c>
      <c r="AC12" s="6">
        <v>0</v>
      </c>
      <c r="AD12" s="6">
        <f ca="1">IF(SUM(OFFSET(INDIRECT(ADDRESS(3,$A38)),1,0,3)) &gt; 0,1,0)</f>
        <v>1</v>
      </c>
      <c r="AE12" s="43" t="s">
        <v>25</v>
      </c>
      <c r="AF12" s="3">
        <f t="shared" si="0"/>
        <v>0</v>
      </c>
      <c r="AG12" s="10">
        <f t="shared" ca="1" si="1"/>
        <v>0</v>
      </c>
      <c r="AH12" s="41"/>
    </row>
    <row r="13" spans="2:36" x14ac:dyDescent="0.3">
      <c r="B13" s="5" t="s">
        <v>3</v>
      </c>
      <c r="C13" s="18">
        <v>2.12</v>
      </c>
      <c r="D13" s="18"/>
      <c r="E13" s="18"/>
      <c r="F13" s="18"/>
      <c r="G13" s="18"/>
      <c r="H13" s="18"/>
      <c r="I13" s="18">
        <v>3</v>
      </c>
      <c r="J13" s="18">
        <v>2.2999999999999998</v>
      </c>
      <c r="K13" s="18"/>
      <c r="L13" s="18"/>
      <c r="M13" s="18"/>
      <c r="N13" s="18"/>
      <c r="O13" s="18"/>
      <c r="P13" s="18"/>
      <c r="Q13" s="18"/>
      <c r="R13" s="18"/>
      <c r="S13" s="18"/>
      <c r="T13" s="21">
        <f>MIN(C13:S13)</f>
        <v>2.12</v>
      </c>
      <c r="U13" s="21">
        <f>MAX(C13:S13)</f>
        <v>3</v>
      </c>
      <c r="V13" s="21">
        <f>AVERAGE(C13:S13)</f>
        <v>2.4733333333333332</v>
      </c>
      <c r="Y13" s="32">
        <v>3</v>
      </c>
      <c r="Z13" s="33">
        <v>11</v>
      </c>
      <c r="AA13" s="33">
        <v>1</v>
      </c>
      <c r="AB13" s="33">
        <v>1</v>
      </c>
      <c r="AC13" s="33">
        <v>0</v>
      </c>
      <c r="AD13" s="33">
        <f ca="1">IF(SUM(OFFSET(INDIRECT(ADDRESS(3,$A39)),1,0,3)) &gt; 0,1,0)</f>
        <v>0</v>
      </c>
      <c r="AE13" s="43" t="s">
        <v>26</v>
      </c>
      <c r="AF13" s="3">
        <f t="shared" si="0"/>
        <v>0</v>
      </c>
      <c r="AG13" s="10">
        <f t="shared" ca="1" si="1"/>
        <v>0</v>
      </c>
      <c r="AH13" s="41"/>
    </row>
    <row r="14" spans="2:36" x14ac:dyDescent="0.3">
      <c r="B14" s="9" t="s">
        <v>8</v>
      </c>
      <c r="C14" s="1">
        <f>IFERROR(AVERAGE(C11:C13),"")</f>
        <v>2.2733333333333334</v>
      </c>
      <c r="D14" s="1">
        <f t="shared" ref="D14:S14" si="3">IFERROR(AVERAGE(D11:D13),"")</f>
        <v>2.1</v>
      </c>
      <c r="E14" s="1" t="str">
        <f t="shared" si="3"/>
        <v/>
      </c>
      <c r="F14" s="1">
        <f t="shared" si="3"/>
        <v>2</v>
      </c>
      <c r="G14" s="1" t="str">
        <f t="shared" si="3"/>
        <v/>
      </c>
      <c r="H14" s="1" t="str">
        <f t="shared" si="3"/>
        <v/>
      </c>
      <c r="I14" s="1">
        <f t="shared" si="3"/>
        <v>3</v>
      </c>
      <c r="J14" s="1">
        <f t="shared" si="3"/>
        <v>2.2999999999999998</v>
      </c>
      <c r="K14" s="1" t="str">
        <f t="shared" si="3"/>
        <v/>
      </c>
      <c r="L14" s="1">
        <f t="shared" si="3"/>
        <v>1.5</v>
      </c>
      <c r="M14" s="1" t="str">
        <f t="shared" si="3"/>
        <v/>
      </c>
      <c r="N14" s="1" t="str">
        <f t="shared" si="3"/>
        <v/>
      </c>
      <c r="O14" s="1" t="str">
        <f t="shared" si="3"/>
        <v/>
      </c>
      <c r="P14" s="1" t="str">
        <f t="shared" si="3"/>
        <v/>
      </c>
      <c r="Q14" s="1" t="str">
        <f t="shared" si="3"/>
        <v/>
      </c>
      <c r="R14" s="1" t="str">
        <f t="shared" si="3"/>
        <v/>
      </c>
      <c r="S14" s="1" t="str">
        <f t="shared" si="3"/>
        <v/>
      </c>
      <c r="T14" s="17">
        <f>MAX(T11:T13)</f>
        <v>2.12</v>
      </c>
      <c r="U14" s="17">
        <f t="shared" ref="U14:V14" si="4">MAX(U11:U13)</f>
        <v>3</v>
      </c>
      <c r="V14" s="17">
        <f t="shared" si="4"/>
        <v>2.4733333333333332</v>
      </c>
      <c r="Y14" s="3">
        <v>3</v>
      </c>
      <c r="Z14" s="6">
        <v>12</v>
      </c>
      <c r="AA14" s="6">
        <v>1</v>
      </c>
      <c r="AB14" s="6">
        <v>1</v>
      </c>
      <c r="AC14" s="6">
        <v>0</v>
      </c>
      <c r="AD14" s="6">
        <f ca="1">IF(SUM(OFFSET(INDIRECT(ADDRESS(3,$A40)),1,0,3)) &gt; 0,1,0)</f>
        <v>0</v>
      </c>
      <c r="AE14" s="43" t="s">
        <v>27</v>
      </c>
      <c r="AF14" s="3">
        <f t="shared" si="0"/>
        <v>0</v>
      </c>
      <c r="AG14" s="10">
        <f t="shared" ca="1" si="1"/>
        <v>0</v>
      </c>
      <c r="AH14" s="41"/>
    </row>
    <row r="15" spans="2:36" x14ac:dyDescent="0.3">
      <c r="Y15" s="3">
        <v>3</v>
      </c>
      <c r="Z15" s="6">
        <v>13</v>
      </c>
      <c r="AA15" s="6">
        <v>1</v>
      </c>
      <c r="AB15" s="6">
        <v>1</v>
      </c>
      <c r="AC15" s="6">
        <v>0</v>
      </c>
      <c r="AD15" s="6">
        <f ca="1">IF(SUM(OFFSET(INDIRECT(ADDRESS(3,$A41)),1,0,3)) &gt; 0,1,0)</f>
        <v>0</v>
      </c>
      <c r="AE15" s="43" t="s">
        <v>28</v>
      </c>
      <c r="AF15" s="3">
        <f t="shared" si="0"/>
        <v>0</v>
      </c>
      <c r="AG15" s="10">
        <f t="shared" ca="1" si="1"/>
        <v>0</v>
      </c>
      <c r="AH15" s="41"/>
    </row>
    <row r="16" spans="2:36" x14ac:dyDescent="0.3">
      <c r="Y16" s="3">
        <v>3</v>
      </c>
      <c r="Z16" s="6">
        <v>14</v>
      </c>
      <c r="AA16" s="6">
        <v>1</v>
      </c>
      <c r="AB16" s="6">
        <v>1</v>
      </c>
      <c r="AC16" s="6">
        <v>0</v>
      </c>
      <c r="AD16" s="6">
        <f ca="1">IF(SUM(OFFSET(INDIRECT(ADDRESS(3,$A42)),1,0,3)) &gt; 0,1,0)</f>
        <v>0</v>
      </c>
      <c r="AE16" s="43" t="s">
        <v>29</v>
      </c>
      <c r="AF16" s="3">
        <f t="shared" si="0"/>
        <v>0</v>
      </c>
      <c r="AG16" s="27">
        <f t="shared" ca="1" si="1"/>
        <v>0</v>
      </c>
      <c r="AH16" s="42">
        <f ca="1">SUMIF($Y$3:$Y$16,$Y$11,$AG$3:$AG$16)/$AF$17</f>
        <v>0</v>
      </c>
    </row>
    <row r="17" spans="1:34" x14ac:dyDescent="0.3">
      <c r="AE17" s="9" t="s">
        <v>31</v>
      </c>
      <c r="AF17" s="12">
        <f ca="1">INDIRECT("'"&amp;$A$45&amp;"'!"&amp;ADDRESS(17,32))+SUM(AF3:AF16)</f>
        <v>5000</v>
      </c>
      <c r="AG17" s="13"/>
      <c r="AH17" s="11"/>
    </row>
    <row r="18" spans="1:34" hidden="1" outlineLevel="1" x14ac:dyDescent="0.3">
      <c r="B18" s="22" t="str">
        <f>"Indicative yield : " &amp;G31</f>
        <v>Indicative yield : CB19207A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34" hidden="1" outlineLevel="1" x14ac:dyDescent="0.3">
      <c r="B19" s="5" t="s">
        <v>0</v>
      </c>
      <c r="C19" s="5" t="str">
        <f t="array" ref="C19:S19">TRANSPOSE($AE$3:$AE$16)</f>
        <v>SCB</v>
      </c>
      <c r="D19" s="5" t="str">
        <v>TMB</v>
      </c>
      <c r="E19" s="5" t="str">
        <v>BBL</v>
      </c>
      <c r="F19" s="5" t="str">
        <v>KBANK</v>
      </c>
      <c r="G19" s="5" t="str">
        <v>BNP</v>
      </c>
      <c r="H19" s="5" t="str">
        <v>KTB</v>
      </c>
      <c r="I19" s="5" t="str">
        <v>MUFG</v>
      </c>
      <c r="J19" s="5" t="str">
        <v>GSB</v>
      </c>
      <c r="K19" s="5" t="str">
        <v>ICBC</v>
      </c>
      <c r="L19" s="5" t="str">
        <v>CIMB</v>
      </c>
      <c r="M19" s="5" t="str">
        <v>SC</v>
      </c>
      <c r="N19" s="5" t="str">
        <v>CITI</v>
      </c>
      <c r="O19" s="5" t="str">
        <v>HSBC</v>
      </c>
      <c r="P19" s="5" t="str">
        <v>UOB</v>
      </c>
      <c r="Q19" s="5" t="e">
        <v>#N/A</v>
      </c>
      <c r="R19" s="5" t="e">
        <v>#N/A</v>
      </c>
      <c r="S19" s="5" t="e">
        <v>#N/A</v>
      </c>
      <c r="T19" s="16" t="s">
        <v>6</v>
      </c>
      <c r="U19" s="16" t="s">
        <v>7</v>
      </c>
      <c r="V19" s="16" t="s">
        <v>8</v>
      </c>
    </row>
    <row r="20" spans="1:34" hidden="1" outlineLevel="1" x14ac:dyDescent="0.3">
      <c r="B20" s="5" t="s">
        <v>1</v>
      </c>
      <c r="C20" s="8">
        <v>2.2000000000000002</v>
      </c>
      <c r="D20" s="8">
        <v>2.1</v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21">
        <f>MIN(C20:S20)</f>
        <v>2.1</v>
      </c>
      <c r="U20" s="21">
        <f>MAX(C20:S20)</f>
        <v>2.2000000000000002</v>
      </c>
      <c r="V20" s="21">
        <f>AVERAGE(C20:S20)</f>
        <v>2.1500000000000004</v>
      </c>
    </row>
    <row r="21" spans="1:34" hidden="1" outlineLevel="1" x14ac:dyDescent="0.3">
      <c r="B21" s="5" t="s">
        <v>2</v>
      </c>
      <c r="C21" s="8">
        <v>2.5</v>
      </c>
      <c r="D21" s="8"/>
      <c r="E21" s="8"/>
      <c r="F21" s="8">
        <v>2</v>
      </c>
      <c r="G21" s="8"/>
      <c r="H21" s="8"/>
      <c r="I21" s="8"/>
      <c r="J21" s="8"/>
      <c r="K21" s="8"/>
      <c r="L21" s="8">
        <v>1.5</v>
      </c>
      <c r="M21" s="8"/>
      <c r="N21" s="8"/>
      <c r="O21" s="8"/>
      <c r="P21" s="8"/>
      <c r="Q21" s="8"/>
      <c r="R21" s="8"/>
      <c r="S21" s="8"/>
      <c r="T21" s="21">
        <f>MIN(C21:S21)</f>
        <v>1.5</v>
      </c>
      <c r="U21" s="21">
        <f>MAX(C21:S21)</f>
        <v>2.5</v>
      </c>
      <c r="V21" s="21">
        <f>AVERAGE(C21:S21)</f>
        <v>2</v>
      </c>
      <c r="Y21" s="28"/>
      <c r="Z21" s="28"/>
    </row>
    <row r="22" spans="1:34" hidden="1" outlineLevel="1" x14ac:dyDescent="0.3">
      <c r="B22" s="5" t="s">
        <v>3</v>
      </c>
      <c r="C22" s="18">
        <v>2.12</v>
      </c>
      <c r="D22" s="18"/>
      <c r="E22" s="18"/>
      <c r="F22" s="18"/>
      <c r="G22" s="18"/>
      <c r="H22" s="18"/>
      <c r="I22" s="18">
        <v>3</v>
      </c>
      <c r="J22" s="18">
        <v>2.2999999999999998</v>
      </c>
      <c r="K22" s="18"/>
      <c r="L22" s="18"/>
      <c r="M22" s="18"/>
      <c r="N22" s="18"/>
      <c r="O22" s="18"/>
      <c r="P22" s="18"/>
      <c r="Q22" s="18"/>
      <c r="R22" s="18"/>
      <c r="S22" s="18"/>
      <c r="T22" s="21">
        <f>MIN(C22:S22)</f>
        <v>2.12</v>
      </c>
      <c r="U22" s="21">
        <f>MAX(C22:S22)</f>
        <v>3</v>
      </c>
      <c r="V22" s="21">
        <f>AVERAGE(C22:S22)</f>
        <v>2.4733333333333332</v>
      </c>
    </row>
    <row r="23" spans="1:34" hidden="1" outlineLevel="1" x14ac:dyDescent="0.3">
      <c r="B23" s="9" t="s">
        <v>8</v>
      </c>
      <c r="C23" s="1">
        <f>IFERROR(AVERAGE(C20:C22),"")</f>
        <v>2.2733333333333334</v>
      </c>
      <c r="D23" s="1">
        <f t="shared" ref="D23:S23" si="5">IFERROR(AVERAGE(D20:D22),"")</f>
        <v>2.1</v>
      </c>
      <c r="E23" s="1" t="str">
        <f t="shared" si="5"/>
        <v/>
      </c>
      <c r="F23" s="1">
        <f t="shared" si="5"/>
        <v>2</v>
      </c>
      <c r="G23" s="1" t="str">
        <f t="shared" si="5"/>
        <v/>
      </c>
      <c r="H23" s="1" t="str">
        <f t="shared" si="5"/>
        <v/>
      </c>
      <c r="I23" s="1">
        <f t="shared" si="5"/>
        <v>3</v>
      </c>
      <c r="J23" s="1">
        <f t="shared" si="5"/>
        <v>2.2999999999999998</v>
      </c>
      <c r="K23" s="1" t="str">
        <f t="shared" si="5"/>
        <v/>
      </c>
      <c r="L23" s="1">
        <f t="shared" si="5"/>
        <v>1.5</v>
      </c>
      <c r="M23" s="1" t="str">
        <f t="shared" si="5"/>
        <v/>
      </c>
      <c r="N23" s="1" t="str">
        <f t="shared" si="5"/>
        <v/>
      </c>
      <c r="O23" s="1" t="str">
        <f t="shared" si="5"/>
        <v/>
      </c>
      <c r="P23" s="1" t="str">
        <f t="shared" si="5"/>
        <v/>
      </c>
      <c r="Q23" s="1" t="str">
        <f t="shared" si="5"/>
        <v/>
      </c>
      <c r="R23" s="1" t="str">
        <f t="shared" si="5"/>
        <v/>
      </c>
      <c r="S23" s="1" t="str">
        <f t="shared" si="5"/>
        <v/>
      </c>
      <c r="T23" s="17">
        <f>MAX(T20:T22)</f>
        <v>2.12</v>
      </c>
      <c r="U23" s="17">
        <f t="shared" ref="U23:V23" si="6">MAX(U20:U22)</f>
        <v>3</v>
      </c>
      <c r="V23" s="17">
        <f t="shared" si="6"/>
        <v>2.4733333333333332</v>
      </c>
    </row>
    <row r="24" spans="1:34" hidden="1" outlineLevel="1" x14ac:dyDescent="0.3"/>
    <row r="25" spans="1:34" hidden="1" outlineLevel="1" x14ac:dyDescent="0.3"/>
    <row r="26" spans="1:34" hidden="1" outlineLevel="1" x14ac:dyDescent="0.3"/>
    <row r="27" spans="1:34" ht="17.399999999999999" customHeight="1" collapsed="1" x14ac:dyDescent="0.3">
      <c r="B27" s="4" t="str">
        <f>"Auction Simulation : "</f>
        <v xml:space="preserve">Auction Simulation : </v>
      </c>
      <c r="D27" s="29" t="str">
        <f>G29</f>
        <v>CB18N08B</v>
      </c>
      <c r="G27" s="4" t="s">
        <v>37</v>
      </c>
      <c r="N27" s="4" t="str">
        <f>"Auction Excute : " &amp; G29</f>
        <v>Auction Excute : CB18N08B</v>
      </c>
      <c r="R27" s="4" t="s">
        <v>33</v>
      </c>
      <c r="Y27" s="4" t="s">
        <v>55</v>
      </c>
    </row>
    <row r="28" spans="1:34" x14ac:dyDescent="0.3">
      <c r="B28" s="5" t="s">
        <v>30</v>
      </c>
      <c r="C28" s="5" t="s">
        <v>0</v>
      </c>
      <c r="D28" s="5" t="s">
        <v>4</v>
      </c>
      <c r="E28" s="5" t="s">
        <v>41</v>
      </c>
      <c r="G28" s="9" t="s">
        <v>42</v>
      </c>
      <c r="H28" s="9" t="s">
        <v>48</v>
      </c>
      <c r="I28" s="9" t="s">
        <v>31</v>
      </c>
      <c r="J28" s="9" t="s">
        <v>38</v>
      </c>
      <c r="K28" s="9" t="s">
        <v>39</v>
      </c>
      <c r="L28" s="9" t="s">
        <v>40</v>
      </c>
      <c r="N28" s="5" t="s">
        <v>0</v>
      </c>
      <c r="O28" s="5" t="s">
        <v>4</v>
      </c>
      <c r="P28" s="5" t="s">
        <v>41</v>
      </c>
      <c r="R28" s="5" t="s">
        <v>0</v>
      </c>
      <c r="S28" s="5" t="s">
        <v>4</v>
      </c>
      <c r="T28" s="5" t="s">
        <v>41</v>
      </c>
      <c r="Y28" t="s">
        <v>50</v>
      </c>
      <c r="Z28" s="15">
        <v>1</v>
      </c>
    </row>
    <row r="29" spans="1:34" x14ac:dyDescent="0.3">
      <c r="A29">
        <f>MATCH(C29,$A$3:$S$3,0)</f>
        <v>3</v>
      </c>
      <c r="B29" s="3">
        <f>INDEX($Z$3:$Z$16,MATCH(C29,$AE$3:$AE$16,0))</f>
        <v>1</v>
      </c>
      <c r="C29" s="1" t="str">
        <f t="array" ref="C29:C42">AE3:AE16</f>
        <v>SCB</v>
      </c>
      <c r="D29" s="19"/>
      <c r="E29" s="1"/>
      <c r="G29" s="14" t="s">
        <v>43</v>
      </c>
      <c r="H29" s="14"/>
      <c r="I29" s="14"/>
      <c r="J29" s="14"/>
      <c r="K29" s="14"/>
      <c r="L29" s="14"/>
      <c r="N29" s="8"/>
      <c r="O29" s="8"/>
      <c r="P29" s="3"/>
      <c r="R29" s="2">
        <f t="array" ref="R29:R37">N29:N37</f>
        <v>0</v>
      </c>
      <c r="S29" s="8"/>
      <c r="T29" s="3"/>
      <c r="Y29" t="s">
        <v>51</v>
      </c>
      <c r="Z29" s="15">
        <v>0.4</v>
      </c>
    </row>
    <row r="30" spans="1:34" x14ac:dyDescent="0.3">
      <c r="A30">
        <f>MATCH(C30,$A$3:$S$3,0)</f>
        <v>4</v>
      </c>
      <c r="B30" s="3">
        <f>INDEX($Z$3:$Z$16,MATCH(C30,$AE$3:$AE$16,0))</f>
        <v>2</v>
      </c>
      <c r="C30" s="1" t="str">
        <v>TMB</v>
      </c>
      <c r="D30" s="19"/>
      <c r="E30" s="1"/>
      <c r="G30" s="14" t="s">
        <v>44</v>
      </c>
      <c r="H30" s="14"/>
      <c r="I30" s="14"/>
      <c r="J30" s="14"/>
      <c r="K30" s="14"/>
      <c r="L30" s="14"/>
      <c r="N30" s="14"/>
      <c r="O30" s="14"/>
      <c r="P30" s="1"/>
      <c r="R30" s="2">
        <v>0</v>
      </c>
      <c r="S30" s="14"/>
      <c r="T30" s="1"/>
      <c r="Y30" t="s">
        <v>52</v>
      </c>
      <c r="Z30" s="15">
        <v>0.1</v>
      </c>
    </row>
    <row r="31" spans="1:34" x14ac:dyDescent="0.3">
      <c r="A31">
        <f>MATCH(C31,$A$3:$S$3,0)</f>
        <v>5</v>
      </c>
      <c r="B31" s="3">
        <f>INDEX($Z$3:$Z$16,MATCH(C31,$AE$3:$AE$16,0))</f>
        <v>3</v>
      </c>
      <c r="C31" s="1" t="str">
        <v>BBL</v>
      </c>
      <c r="D31" s="19"/>
      <c r="E31" s="1"/>
      <c r="G31" s="14" t="s">
        <v>45</v>
      </c>
      <c r="H31" s="14"/>
      <c r="I31" s="14"/>
      <c r="J31" s="14"/>
      <c r="K31" s="14"/>
      <c r="L31" s="14"/>
      <c r="N31" s="14"/>
      <c r="O31" s="14"/>
      <c r="P31" s="1"/>
      <c r="R31" s="2">
        <v>0</v>
      </c>
      <c r="S31" s="14"/>
      <c r="T31" s="1"/>
    </row>
    <row r="32" spans="1:34" x14ac:dyDescent="0.3">
      <c r="A32">
        <f>MATCH(C32,$A$3:$S$3,0)</f>
        <v>6</v>
      </c>
      <c r="B32" s="3">
        <f>INDEX($Z$3:$Z$16,MATCH(C32,$AE$3:$AE$16,0))</f>
        <v>4</v>
      </c>
      <c r="C32" s="1" t="str">
        <v>KBANK</v>
      </c>
      <c r="D32" s="19"/>
      <c r="E32" s="1"/>
      <c r="N32" s="14"/>
      <c r="O32" s="14"/>
      <c r="P32" s="1"/>
      <c r="R32" s="2">
        <v>0</v>
      </c>
      <c r="S32" s="14"/>
      <c r="T32" s="1"/>
    </row>
    <row r="33" spans="1:26" x14ac:dyDescent="0.3">
      <c r="A33">
        <f>MATCH(C33,$A$3:$S$3,0)</f>
        <v>7</v>
      </c>
      <c r="B33" s="3">
        <f>INDEX($Z$3:$Z$16,MATCH(C33,$AE$3:$AE$16,0))</f>
        <v>5</v>
      </c>
      <c r="C33" s="1" t="str">
        <v>BNP</v>
      </c>
      <c r="D33" s="19"/>
      <c r="E33" s="1"/>
      <c r="N33" s="14"/>
      <c r="O33" s="14"/>
      <c r="P33" s="1"/>
      <c r="R33" s="2">
        <v>0</v>
      </c>
      <c r="S33" s="14"/>
      <c r="T33" s="1"/>
      <c r="Z33" s="30"/>
    </row>
    <row r="34" spans="1:26" x14ac:dyDescent="0.3">
      <c r="A34">
        <f>MATCH(C34,$A$3:$S$3,0)</f>
        <v>8</v>
      </c>
      <c r="B34" s="3">
        <f>INDEX($Z$3:$Z$16,MATCH(C34,$AE$3:$AE$16,0))</f>
        <v>6</v>
      </c>
      <c r="C34" s="1" t="str">
        <v>KTB</v>
      </c>
      <c r="D34" s="19"/>
      <c r="E34" s="1"/>
      <c r="G34" s="4" t="s">
        <v>33</v>
      </c>
      <c r="J34" s="24" t="s">
        <v>41</v>
      </c>
      <c r="K34" s="25"/>
      <c r="L34" s="26"/>
      <c r="N34" s="14"/>
      <c r="O34" s="14"/>
      <c r="P34" s="1"/>
      <c r="R34" s="2">
        <v>0</v>
      </c>
      <c r="S34" s="14"/>
      <c r="T34" s="1"/>
    </row>
    <row r="35" spans="1:26" x14ac:dyDescent="0.3">
      <c r="A35">
        <f>MATCH(C35,$A$3:$S$3,0)</f>
        <v>9</v>
      </c>
      <c r="B35" s="3">
        <f>INDEX($Z$3:$Z$16,MATCH(C35,$AE$3:$AE$16,0))</f>
        <v>7</v>
      </c>
      <c r="C35" s="1" t="str">
        <v>MUFG</v>
      </c>
      <c r="D35" s="19"/>
      <c r="E35" s="1"/>
      <c r="G35" s="5" t="s">
        <v>42</v>
      </c>
      <c r="H35" s="23" t="s">
        <v>31</v>
      </c>
      <c r="I35" s="23" t="s">
        <v>36</v>
      </c>
      <c r="J35" s="5" t="s">
        <v>6</v>
      </c>
      <c r="K35" s="5" t="s">
        <v>7</v>
      </c>
      <c r="L35" s="5" t="s">
        <v>8</v>
      </c>
      <c r="N35" s="14"/>
      <c r="O35" s="14"/>
      <c r="P35" s="1"/>
      <c r="R35" s="2">
        <v>0</v>
      </c>
      <c r="S35" s="14"/>
      <c r="T35" s="1"/>
    </row>
    <row r="36" spans="1:26" x14ac:dyDescent="0.3">
      <c r="A36">
        <f>MATCH(C36,$A$3:$S$3,0)</f>
        <v>10</v>
      </c>
      <c r="B36" s="3">
        <f>INDEX($Z$3:$Z$16,MATCH(C36,$AE$3:$AE$16,0))</f>
        <v>8</v>
      </c>
      <c r="C36" s="1" t="str">
        <v>GSB</v>
      </c>
      <c r="D36" s="19"/>
      <c r="E36" s="1"/>
      <c r="G36" s="1" t="str">
        <f>G29</f>
        <v>CB18N08B</v>
      </c>
      <c r="H36" s="20"/>
      <c r="I36" s="20"/>
      <c r="J36" s="20"/>
      <c r="K36" s="20"/>
      <c r="L36" s="20"/>
      <c r="N36" s="14"/>
      <c r="O36" s="14"/>
      <c r="P36" s="1"/>
      <c r="R36" s="2">
        <v>0</v>
      </c>
      <c r="S36" s="14"/>
      <c r="T36" s="1"/>
    </row>
    <row r="37" spans="1:26" x14ac:dyDescent="0.3">
      <c r="A37">
        <f>MATCH(C37,$A$3:$S$3,0)</f>
        <v>11</v>
      </c>
      <c r="B37" s="3">
        <f>INDEX($Z$3:$Z$16,MATCH(C37,$AE$3:$AE$16,0))</f>
        <v>9</v>
      </c>
      <c r="C37" s="1" t="str">
        <v>ICBC</v>
      </c>
      <c r="D37" s="19"/>
      <c r="E37" s="1"/>
      <c r="G37" s="1" t="str">
        <f t="shared" ref="G37:G38" si="7">G30</f>
        <v>CB19606A</v>
      </c>
      <c r="H37" s="20"/>
      <c r="I37" s="20"/>
      <c r="J37" s="20"/>
      <c r="K37" s="20"/>
      <c r="L37" s="20"/>
      <c r="N37" s="14"/>
      <c r="O37" s="14"/>
      <c r="P37" s="1"/>
      <c r="R37" s="2">
        <v>0</v>
      </c>
      <c r="S37" s="14"/>
      <c r="T37" s="1"/>
    </row>
    <row r="38" spans="1:26" ht="15" thickBot="1" x14ac:dyDescent="0.35">
      <c r="A38">
        <f>MATCH(C38,$A$3:$S$3,0)</f>
        <v>12</v>
      </c>
      <c r="B38" s="3">
        <f>INDEX($Z$3:$Z$16,MATCH(C38,$AE$3:$AE$16,0))</f>
        <v>10</v>
      </c>
      <c r="C38" s="1" t="str">
        <v>CIMB</v>
      </c>
      <c r="D38" s="19"/>
      <c r="E38" s="1"/>
      <c r="G38" s="1" t="str">
        <f t="shared" si="7"/>
        <v>CB19207A</v>
      </c>
      <c r="H38" s="20"/>
      <c r="I38" s="20"/>
      <c r="J38" s="20"/>
      <c r="K38" s="20"/>
      <c r="L38" s="20"/>
      <c r="O38" s="7"/>
      <c r="P38" s="7"/>
      <c r="S38" s="7"/>
      <c r="T38" s="7"/>
    </row>
    <row r="39" spans="1:26" ht="15" thickTop="1" x14ac:dyDescent="0.3">
      <c r="A39">
        <f>MATCH(C39,$A$3:$S$3,0)</f>
        <v>13</v>
      </c>
      <c r="B39" s="3">
        <f>INDEX($Z$3:$Z$16,MATCH(C39,$AE$3:$AE$16,0))</f>
        <v>11</v>
      </c>
      <c r="C39" s="1" t="str">
        <v>SC</v>
      </c>
      <c r="D39" s="19"/>
      <c r="E39" s="1"/>
    </row>
    <row r="40" spans="1:26" x14ac:dyDescent="0.3">
      <c r="A40">
        <f>MATCH(C40,$A$3:$S$3,0)</f>
        <v>14</v>
      </c>
      <c r="B40" s="3">
        <f>INDEX($Z$3:$Z$16,MATCH(C40,$AE$3:$AE$16,0))</f>
        <v>12</v>
      </c>
      <c r="C40" s="1" t="str">
        <v>CITI</v>
      </c>
      <c r="D40" s="19"/>
      <c r="E40" s="1"/>
      <c r="G40" s="4"/>
      <c r="N40" s="4" t="str">
        <f>"Auction Excute : " &amp;G30</f>
        <v>Auction Excute : CB19606A</v>
      </c>
      <c r="R40" s="4" t="s">
        <v>33</v>
      </c>
    </row>
    <row r="41" spans="1:26" x14ac:dyDescent="0.3">
      <c r="A41">
        <f>MATCH(C41,$A$3:$S$3,0)</f>
        <v>15</v>
      </c>
      <c r="B41" s="3">
        <f>INDEX($Z$3:$Z$16,MATCH(C41,$AE$3:$AE$16,0))</f>
        <v>13</v>
      </c>
      <c r="C41" s="1" t="str">
        <v>HSBC</v>
      </c>
      <c r="D41" s="19"/>
      <c r="E41" s="1"/>
      <c r="N41" s="5" t="s">
        <v>0</v>
      </c>
      <c r="O41" s="5" t="s">
        <v>4</v>
      </c>
      <c r="P41" s="5" t="s">
        <v>41</v>
      </c>
      <c r="R41" s="5" t="s">
        <v>0</v>
      </c>
      <c r="S41" s="5" t="s">
        <v>4</v>
      </c>
      <c r="T41" s="5" t="s">
        <v>41</v>
      </c>
    </row>
    <row r="42" spans="1:26" x14ac:dyDescent="0.3">
      <c r="A42">
        <f>MATCH(C42,$A$3:$S$3,0)</f>
        <v>16</v>
      </c>
      <c r="B42" s="3">
        <f>INDEX($Z$3:$Z$16,MATCH(C42,$AE$3:$AE$16,0))</f>
        <v>14</v>
      </c>
      <c r="C42" s="1" t="str">
        <v>UOB</v>
      </c>
      <c r="D42" s="19"/>
      <c r="E42" s="1"/>
      <c r="N42" s="3"/>
      <c r="O42" s="3"/>
      <c r="P42" s="3"/>
      <c r="R42" s="2">
        <f t="array" ref="R42:R50">N42:N50</f>
        <v>0</v>
      </c>
      <c r="S42" s="3"/>
      <c r="T42" s="3"/>
    </row>
    <row r="43" spans="1:26" x14ac:dyDescent="0.3">
      <c r="N43" s="1"/>
      <c r="O43" s="1"/>
      <c r="P43" s="1"/>
      <c r="R43" s="2">
        <v>0</v>
      </c>
      <c r="S43" s="1"/>
      <c r="T43" s="1"/>
    </row>
    <row r="44" spans="1:26" x14ac:dyDescent="0.3">
      <c r="N44" s="1"/>
      <c r="O44" s="1"/>
      <c r="P44" s="1"/>
      <c r="R44" s="2">
        <v>0</v>
      </c>
      <c r="S44" s="1"/>
      <c r="T44" s="1"/>
    </row>
    <row r="45" spans="1:26" x14ac:dyDescent="0.3">
      <c r="A45" t="s">
        <v>53</v>
      </c>
      <c r="B45" s="4" t="s">
        <v>9</v>
      </c>
      <c r="C45" t="s">
        <v>10</v>
      </c>
      <c r="N45" s="1"/>
      <c r="O45" s="1"/>
      <c r="P45" s="1"/>
      <c r="R45" s="2">
        <v>0</v>
      </c>
      <c r="S45" s="1"/>
      <c r="T45" s="1"/>
    </row>
    <row r="46" spans="1:26" x14ac:dyDescent="0.3">
      <c r="C46" t="s">
        <v>11</v>
      </c>
      <c r="N46" s="1"/>
      <c r="O46" s="1"/>
      <c r="P46" s="1"/>
      <c r="R46" s="2">
        <v>0</v>
      </c>
      <c r="S46" s="1"/>
      <c r="T46" s="1"/>
    </row>
    <row r="47" spans="1:26" x14ac:dyDescent="0.3">
      <c r="D47" t="s">
        <v>12</v>
      </c>
      <c r="N47" s="1"/>
      <c r="O47" s="1"/>
      <c r="P47" s="1"/>
      <c r="R47" s="2">
        <v>0</v>
      </c>
      <c r="S47" s="1"/>
      <c r="T47" s="1"/>
    </row>
    <row r="48" spans="1:26" x14ac:dyDescent="0.3">
      <c r="D48" t="s">
        <v>13</v>
      </c>
      <c r="N48" s="1"/>
      <c r="O48" s="1"/>
      <c r="P48" s="1"/>
      <c r="R48" s="2">
        <v>0</v>
      </c>
      <c r="S48" s="1"/>
      <c r="T48" s="1"/>
    </row>
    <row r="49" spans="3:20" x14ac:dyDescent="0.3">
      <c r="D49" t="s">
        <v>14</v>
      </c>
      <c r="N49" s="1"/>
      <c r="O49" s="1"/>
      <c r="P49" s="1"/>
      <c r="R49" s="2">
        <v>0</v>
      </c>
      <c r="S49" s="1"/>
      <c r="T49" s="1"/>
    </row>
    <row r="50" spans="3:20" x14ac:dyDescent="0.3">
      <c r="C50" t="s">
        <v>15</v>
      </c>
      <c r="N50" s="1"/>
      <c r="O50" s="1"/>
      <c r="P50" s="1"/>
      <c r="R50" s="2">
        <v>0</v>
      </c>
      <c r="S50" s="1"/>
      <c r="T50" s="1"/>
    </row>
    <row r="51" spans="3:20" ht="15" thickBot="1" x14ac:dyDescent="0.35">
      <c r="O51" s="7"/>
      <c r="P51" s="7"/>
      <c r="S51" s="7"/>
      <c r="T51" s="7"/>
    </row>
    <row r="52" spans="3:20" ht="15" thickTop="1" x14ac:dyDescent="0.3"/>
  </sheetData>
  <mergeCells count="4">
    <mergeCell ref="B2:V2"/>
    <mergeCell ref="B9:V9"/>
    <mergeCell ref="B18:V18"/>
    <mergeCell ref="J34:L34"/>
  </mergeCells>
  <conditionalFormatting sqref="C7:S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:S1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S2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Z21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Y3:Y16">
    <cfRule type="cellIs" dxfId="6" priority="7" operator="equal">
      <formula>1</formula>
    </cfRule>
  </conditionalFormatting>
  <conditionalFormatting sqref="AH10">
    <cfRule type="cellIs" dxfId="5" priority="5" operator="greaterThan">
      <formula>0.4</formula>
    </cfRule>
    <cfRule type="cellIs" dxfId="4" priority="6" operator="lessThan">
      <formula>0.5</formula>
    </cfRule>
  </conditionalFormatting>
  <conditionalFormatting sqref="AH16">
    <cfRule type="cellIs" dxfId="3" priority="3" operator="greaterThan">
      <formula>0.4</formula>
    </cfRule>
    <cfRule type="cellIs" dxfId="2" priority="4" operator="lessThan">
      <formula>0.5</formula>
    </cfRule>
  </conditionalFormatting>
  <conditionalFormatting sqref="AH5">
    <cfRule type="cellIs" dxfId="1" priority="1" operator="greaterThan">
      <formula>0.9</formula>
    </cfRule>
    <cfRule type="cellIs" dxfId="0" priority="2" operator="lessThan">
      <formula>0.9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0543C8D0-9F16-4A25-8FA3-C4470620C9C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AD3:AD16</xm:sqref>
        </x14:conditionalFormatting>
        <x14:conditionalFormatting xmlns:xm="http://schemas.microsoft.com/office/excel/2006/main">
          <x14:cfRule type="iconSet" priority="9" id="{02BFBADB-45EF-4051-AD73-D736C07E165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AA3:AC16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25Sep18</vt:lpstr>
      <vt:lpstr>2Oct18</vt:lpstr>
      <vt:lpstr>8Oct18</vt:lpstr>
      <vt:lpstr>15Oct18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2018-09-22T09:56:34Z</dcterms:created>
  <dcterms:modified xsi:type="dcterms:W3CDTF">2018-09-23T17:25:06Z</dcterms:modified>
</cp:coreProperties>
</file>